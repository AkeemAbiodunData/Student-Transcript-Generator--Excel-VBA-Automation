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C073DF24-3AB0-4E51-B065-30BD2B75F7EC}" xr6:coauthVersionLast="47" xr6:coauthVersionMax="47" xr10:uidLastSave="{00000000-0000-0000-0000-000000000000}"/>
  <bookViews>
    <workbookView xWindow="-108" yWindow="-108" windowWidth="23256" windowHeight="12576" xr2:uid="{40F597FE-4A54-4D33-9A8F-BC2546021318}"/>
  </bookViews>
  <sheets>
    <sheet name="All Semester" sheetId="1" r:id="rId1"/>
    <sheet name="Shape" sheetId="5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7" i="1" l="1"/>
  <c r="N127" i="1"/>
  <c r="M127" i="1"/>
  <c r="L127" i="1"/>
  <c r="P126" i="1"/>
  <c r="N126" i="1"/>
  <c r="M126" i="1"/>
  <c r="L126" i="1"/>
  <c r="P125" i="1"/>
  <c r="N125" i="1"/>
  <c r="M125" i="1"/>
  <c r="L125" i="1"/>
  <c r="F144" i="1"/>
  <c r="E144" i="1"/>
  <c r="D144" i="1"/>
  <c r="C144" i="1"/>
  <c r="P124" i="1"/>
  <c r="N124" i="1"/>
  <c r="M124" i="1"/>
  <c r="L124" i="1"/>
  <c r="F143" i="1"/>
  <c r="E143" i="1"/>
  <c r="D143" i="1"/>
  <c r="C143" i="1"/>
  <c r="B143" i="1"/>
  <c r="B144" i="1" s="1"/>
  <c r="P123" i="1"/>
  <c r="O123" i="1"/>
  <c r="O124" i="1" s="1"/>
  <c r="N123" i="1"/>
  <c r="M123" i="1"/>
  <c r="L123" i="1"/>
  <c r="Q90" i="1"/>
  <c r="P90" i="1"/>
  <c r="O90" i="1"/>
  <c r="M90" i="1"/>
  <c r="Q89" i="1"/>
  <c r="P89" i="1"/>
  <c r="O89" i="1"/>
  <c r="M89" i="1"/>
  <c r="Q88" i="1"/>
  <c r="P88" i="1"/>
  <c r="O88" i="1"/>
  <c r="M88" i="1"/>
  <c r="G114" i="1"/>
  <c r="F114" i="1"/>
  <c r="E114" i="1"/>
  <c r="C114" i="1"/>
  <c r="Q87" i="1"/>
  <c r="P87" i="1"/>
  <c r="O87" i="1"/>
  <c r="M87" i="1"/>
  <c r="G113" i="1"/>
  <c r="F113" i="1"/>
  <c r="E113" i="1"/>
  <c r="D113" i="1"/>
  <c r="D114" i="1" s="1"/>
  <c r="C113" i="1"/>
  <c r="B113" i="1"/>
  <c r="B114" i="1" s="1"/>
  <c r="Q86" i="1"/>
  <c r="P86" i="1"/>
  <c r="O86" i="1"/>
  <c r="N86" i="1"/>
  <c r="N87" i="1" s="1"/>
  <c r="M86" i="1"/>
  <c r="L86" i="1"/>
  <c r="L87" i="1" s="1"/>
  <c r="Q59" i="1"/>
  <c r="P59" i="1"/>
  <c r="N59" i="1"/>
  <c r="L59" i="1"/>
  <c r="Q58" i="1"/>
  <c r="P58" i="1"/>
  <c r="O58" i="1"/>
  <c r="N58" i="1"/>
  <c r="L58" i="1"/>
  <c r="Q57" i="1"/>
  <c r="P57" i="1"/>
  <c r="N57" i="1"/>
  <c r="L57" i="1"/>
  <c r="G77" i="1"/>
  <c r="F77" i="1"/>
  <c r="D77" i="1"/>
  <c r="B77" i="1"/>
  <c r="Q56" i="1"/>
  <c r="P56" i="1"/>
  <c r="O56" i="1"/>
  <c r="O57" i="1" s="1"/>
  <c r="N56" i="1"/>
  <c r="L56" i="1"/>
  <c r="G76" i="1"/>
  <c r="F76" i="1"/>
  <c r="E76" i="1"/>
  <c r="E77" i="1" s="1"/>
  <c r="D76" i="1"/>
  <c r="C76" i="1"/>
  <c r="C77" i="1" s="1"/>
  <c r="B76" i="1"/>
  <c r="Q55" i="1"/>
  <c r="P55" i="1"/>
  <c r="O55" i="1"/>
  <c r="N55" i="1"/>
  <c r="M55" i="1"/>
  <c r="M56" i="1" s="1"/>
  <c r="L55" i="1"/>
  <c r="R9" i="1"/>
  <c r="Q9" i="1"/>
  <c r="P9" i="1"/>
  <c r="O9" i="1"/>
  <c r="M9" i="1"/>
  <c r="R8" i="1"/>
  <c r="Q8" i="1"/>
  <c r="P8" i="1"/>
  <c r="O8" i="1"/>
  <c r="M8" i="1"/>
  <c r="R7" i="1"/>
  <c r="Q7" i="1"/>
  <c r="P7" i="1"/>
  <c r="O7" i="1"/>
  <c r="M7" i="1"/>
  <c r="H44" i="1"/>
  <c r="G44" i="1"/>
  <c r="F44" i="1"/>
  <c r="E44" i="1"/>
  <c r="C44" i="1"/>
  <c r="B44" i="1"/>
  <c r="R6" i="1"/>
  <c r="Q6" i="1"/>
  <c r="P6" i="1"/>
  <c r="O6" i="1"/>
  <c r="N6" i="1"/>
  <c r="N8" i="1" s="1"/>
  <c r="M6" i="1"/>
  <c r="H43" i="1"/>
  <c r="G43" i="1"/>
  <c r="F43" i="1"/>
  <c r="E43" i="1"/>
  <c r="D43" i="1"/>
  <c r="D44" i="1" s="1"/>
  <c r="C43" i="1"/>
  <c r="B43" i="1"/>
  <c r="R5" i="1"/>
  <c r="Q5" i="1"/>
  <c r="P5" i="1"/>
  <c r="O5" i="1"/>
  <c r="N5" i="1"/>
  <c r="M5" i="1"/>
  <c r="L5" i="1"/>
  <c r="L6" i="1" s="1"/>
  <c r="L89" i="1" l="1"/>
  <c r="L88" i="1"/>
  <c r="L90" i="1"/>
  <c r="O59" i="1"/>
  <c r="N7" i="1"/>
  <c r="N9" i="1"/>
  <c r="L8" i="1"/>
  <c r="S8" i="1" s="1"/>
  <c r="L9" i="1"/>
  <c r="S9" i="1" s="1"/>
  <c r="L7" i="1"/>
  <c r="M58" i="1"/>
  <c r="R58" i="1" s="1"/>
  <c r="M59" i="1"/>
  <c r="R59" i="1" s="1"/>
  <c r="M57" i="1"/>
  <c r="N90" i="1"/>
  <c r="R90" i="1" s="1"/>
  <c r="N88" i="1"/>
  <c r="N89" i="1"/>
  <c r="R89" i="1" s="1"/>
  <c r="O127" i="1"/>
  <c r="Q127" i="1" s="1"/>
  <c r="O126" i="1"/>
  <c r="Q126" i="1" s="1"/>
  <c r="O125" i="1"/>
  <c r="I146" i="1" l="1"/>
  <c r="I147" i="1"/>
  <c r="I150" i="1" s="1"/>
  <c r="I151" i="1" s="1"/>
</calcChain>
</file>

<file path=xl/sharedStrings.xml><?xml version="1.0" encoding="utf-8"?>
<sst xmlns="http://schemas.openxmlformats.org/spreadsheetml/2006/main" count="214" uniqueCount="126">
  <si>
    <t>Evaluation Summary Per Student</t>
  </si>
  <si>
    <t>Student Name: Apple W. Samsung   Student Number: BCSEP23026</t>
  </si>
  <si>
    <t>Courses/Tests</t>
  </si>
  <si>
    <t>Classroom Dynamics</t>
  </si>
  <si>
    <t>Human Development</t>
  </si>
  <si>
    <t>Use of Computers</t>
  </si>
  <si>
    <t>Introduction to Developmental Disabilities</t>
  </si>
  <si>
    <t>Behavior Managemnt I</t>
  </si>
  <si>
    <t>College Writing Skills</t>
  </si>
  <si>
    <t>Professional Ethics</t>
  </si>
  <si>
    <t>Class Participation 1</t>
  </si>
  <si>
    <t>Class Participation 2</t>
  </si>
  <si>
    <t>Class Participation 3</t>
  </si>
  <si>
    <t>Class Participation 4</t>
  </si>
  <si>
    <t>Class Participation 5</t>
  </si>
  <si>
    <t>Class Participation 6</t>
  </si>
  <si>
    <t>Class Participation 7</t>
  </si>
  <si>
    <t>Class Participation 8</t>
  </si>
  <si>
    <t>Class Participation 9</t>
  </si>
  <si>
    <t>Class Participation 10</t>
  </si>
  <si>
    <t>Class Participation 11</t>
  </si>
  <si>
    <t>Class Survey 1/Attendance</t>
  </si>
  <si>
    <t>Class Survey 2/Attendance</t>
  </si>
  <si>
    <t>Class Survey 3/Attendance</t>
  </si>
  <si>
    <t>Class Survey 4/Attendance</t>
  </si>
  <si>
    <t>Class Survey 5/Attendance</t>
  </si>
  <si>
    <t>In-class Interteach 1</t>
  </si>
  <si>
    <t>In-class Interteach 2</t>
  </si>
  <si>
    <t>In-class Interteach 3</t>
  </si>
  <si>
    <t>In-class Interteach 4</t>
  </si>
  <si>
    <t>In-class Interteach 5</t>
  </si>
  <si>
    <t>Quiz 1</t>
  </si>
  <si>
    <t>Quiz 2</t>
  </si>
  <si>
    <t>Quiz 3</t>
  </si>
  <si>
    <t>Quiz 4</t>
  </si>
  <si>
    <t>Quiz 5</t>
  </si>
  <si>
    <t>Presentation 1</t>
  </si>
  <si>
    <t>Presentation 2</t>
  </si>
  <si>
    <t>Discussion Leader 1</t>
  </si>
  <si>
    <t>Discussion Leader 2</t>
  </si>
  <si>
    <t>Discussion Leader 3</t>
  </si>
  <si>
    <t>Assignment 1</t>
  </si>
  <si>
    <t>Assignment 2</t>
  </si>
  <si>
    <t>Movie Assignment</t>
  </si>
  <si>
    <t>Mid Term Exam</t>
  </si>
  <si>
    <t>Final Exam</t>
  </si>
  <si>
    <t>Semester Total</t>
  </si>
  <si>
    <t>Percentages</t>
  </si>
  <si>
    <t>Cohort: September 2023, Semester 2</t>
  </si>
  <si>
    <t>Group Dynamics</t>
  </si>
  <si>
    <t>Program Development</t>
  </si>
  <si>
    <t>Abnormal Psychology</t>
  </si>
  <si>
    <t>Behavior Management II</t>
  </si>
  <si>
    <t>Social Inclusion Strategies – QAM, CFSA</t>
  </si>
  <si>
    <t>Placement 1</t>
  </si>
  <si>
    <t xml:space="preserve">Attendance </t>
  </si>
  <si>
    <t xml:space="preserve">SMART Goals </t>
  </si>
  <si>
    <t>Class Surveys</t>
  </si>
  <si>
    <t>In-class Participation</t>
  </si>
  <si>
    <t>AFLS Assignment/Assignment</t>
  </si>
  <si>
    <t>Assignment</t>
  </si>
  <si>
    <t>Measurement Methods Ass.</t>
  </si>
  <si>
    <t>Cohort: September 2023          Semester: 3</t>
  </si>
  <si>
    <t>Alternative Comm &amp; Augmentative Devices</t>
  </si>
  <si>
    <t>Medication &amp; Pharmacology</t>
  </si>
  <si>
    <t>Dual Diagnosis &amp; Other Complex Needs</t>
  </si>
  <si>
    <t>Behavior Management III</t>
  </si>
  <si>
    <t>Placement</t>
  </si>
  <si>
    <t>Human Sexuality</t>
  </si>
  <si>
    <t>Bonus</t>
  </si>
  <si>
    <t>Attendance</t>
  </si>
  <si>
    <t>CPS Assignment</t>
  </si>
  <si>
    <t>In-class Discussion</t>
  </si>
  <si>
    <t>Test 1</t>
  </si>
  <si>
    <t>Test 2</t>
  </si>
  <si>
    <t>Test 3</t>
  </si>
  <si>
    <t>Practical Test</t>
  </si>
  <si>
    <t>Program Development 1</t>
  </si>
  <si>
    <t>Program Development 2</t>
  </si>
  <si>
    <t>Program Development 3</t>
  </si>
  <si>
    <t>Presentation 3</t>
  </si>
  <si>
    <t>Assignment 3</t>
  </si>
  <si>
    <t>MAR Sheets</t>
  </si>
  <si>
    <t>Cohort: September 2023, Semester 4</t>
  </si>
  <si>
    <t>Case Study and Field Seminar</t>
  </si>
  <si>
    <t>Lab</t>
  </si>
  <si>
    <t>Core Competencies &amp; Interviewing Skills</t>
  </si>
  <si>
    <t>Behavior Management IV</t>
  </si>
  <si>
    <t>Placement 3</t>
  </si>
  <si>
    <t>Task Identification</t>
  </si>
  <si>
    <t xml:space="preserve">Rationale </t>
  </si>
  <si>
    <t>Instruction and Direction</t>
  </si>
  <si>
    <t>Procedure and Safety</t>
  </si>
  <si>
    <t xml:space="preserve">Timely Submission </t>
  </si>
  <si>
    <t>Program Plan - 1-6</t>
  </si>
  <si>
    <t>Program Plan - 7-10</t>
  </si>
  <si>
    <t>Program Plan - 11-18</t>
  </si>
  <si>
    <t>Participation</t>
  </si>
  <si>
    <t>Timecard</t>
  </si>
  <si>
    <t>Final Report</t>
  </si>
  <si>
    <t>Final Semester Summary</t>
  </si>
  <si>
    <t>Third Semester Summary</t>
  </si>
  <si>
    <t>Second Semester Summary</t>
  </si>
  <si>
    <t>First Semester Summary</t>
  </si>
  <si>
    <t>Total Score</t>
  </si>
  <si>
    <t>Percentage</t>
  </si>
  <si>
    <t>Grade</t>
  </si>
  <si>
    <t>12-Point</t>
  </si>
  <si>
    <t>GPA</t>
  </si>
  <si>
    <t>Student Name:</t>
  </si>
  <si>
    <t xml:space="preserve">Enrolment Date: </t>
  </si>
  <si>
    <t xml:space="preserve">Student Address: </t>
  </si>
  <si>
    <t xml:space="preserve">Date of Issue: </t>
  </si>
  <si>
    <t xml:space="preserve">Period of attendance: </t>
  </si>
  <si>
    <t xml:space="preserve">Date of Award: </t>
  </si>
  <si>
    <t>10/01/2023 – 20/12/2023</t>
  </si>
  <si>
    <t>20/12/2023</t>
  </si>
  <si>
    <t>Cohort: September 2023, Semester 1</t>
  </si>
  <si>
    <t>Student ID:</t>
  </si>
  <si>
    <t>Total Points</t>
  </si>
  <si>
    <t xml:space="preserve">Total Number of Courses </t>
  </si>
  <si>
    <t>Cummulative - GPA/23</t>
  </si>
  <si>
    <t>Final GPA</t>
  </si>
  <si>
    <t>John Python</t>
  </si>
  <si>
    <t>DWT202456</t>
  </si>
  <si>
    <t>Garage Brance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</si>
</sst>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FF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FF0000"/>
      <name val="Calibri"/>
      <family val="2"/>
    </font>
    <font>
      <b/>
      <sz val="11"/>
      <name val="Aptos Narrow"/>
      <family val="2"/>
    </font>
    <font>
      <b/>
      <sz val="1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  <fill>
      <patternFill patternType="solid">
        <fgColor rgb="FFC8C8FF"/>
        <bgColor indexed="64"/>
      </patternFill>
    </fill>
    <fill>
      <patternFill patternType="solid">
        <fgColor rgb="FFC8C8FF"/>
        <bgColor rgb="FF000000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0" fontId="4" fillId="0" borderId="0" xfId="0" applyFont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2" fillId="0" borderId="9" xfId="0" applyFont="1" applyBorder="1" applyAlignment="1">
      <alignment horizontal="center" wrapText="1"/>
    </xf>
    <xf numFmtId="0" fontId="4" fillId="0" borderId="9" xfId="0" applyFont="1" applyBorder="1" applyAlignment="1">
      <alignment horizontal="center"/>
    </xf>
    <xf numFmtId="0" fontId="4" fillId="0" borderId="8" xfId="0" applyFont="1" applyBorder="1"/>
    <xf numFmtId="0" fontId="4" fillId="0" borderId="2" xfId="0" applyFont="1" applyBorder="1" applyAlignment="1">
      <alignment horizontal="left"/>
    </xf>
    <xf numFmtId="0" fontId="4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4" fillId="0" borderId="5" xfId="0" applyFont="1" applyBorder="1"/>
    <xf numFmtId="0" fontId="4" fillId="0" borderId="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6" fillId="0" borderId="0" xfId="0" applyFont="1"/>
    <xf numFmtId="0" fontId="8" fillId="0" borderId="0" xfId="0" applyFont="1"/>
    <xf numFmtId="0" fontId="2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9" fontId="9" fillId="3" borderId="2" xfId="1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14" fontId="6" fillId="0" borderId="0" xfId="0" applyNumberFormat="1" applyFont="1"/>
    <xf numFmtId="0" fontId="9" fillId="0" borderId="0" xfId="0" applyFont="1"/>
    <xf numFmtId="0" fontId="17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2</xdr:row>
      <xdr:rowOff>22860</xdr:rowOff>
    </xdr:from>
    <xdr:to>
      <xdr:col>3</xdr:col>
      <xdr:colOff>495993</xdr:colOff>
      <xdr:row>9</xdr:row>
      <xdr:rowOff>18704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EC206CF-A813-6654-5C43-77E774FBF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" y="388620"/>
          <a:ext cx="1334193" cy="12760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CD36E-8D36-483C-8D06-BC12B64EFEF9}">
  <sheetPr codeName="Sheet1"/>
  <dimension ref="A1:S153"/>
  <sheetViews>
    <sheetView tabSelected="1" workbookViewId="0">
      <selection activeCell="G11" sqref="G11"/>
    </sheetView>
  </sheetViews>
  <sheetFormatPr defaultRowHeight="14.4" x14ac:dyDescent="0.3"/>
  <cols>
    <col min="1" max="1" width="25" bestFit="1" customWidth="1"/>
    <col min="2" max="2" width="23.44140625" customWidth="1"/>
    <col min="3" max="3" width="12.77734375" bestFit="1" customWidth="1"/>
    <col min="4" max="4" width="14.21875" bestFit="1" customWidth="1"/>
    <col min="5" max="5" width="11.44140625" customWidth="1"/>
    <col min="6" max="6" width="8.5546875" bestFit="1" customWidth="1"/>
    <col min="7" max="7" width="18.77734375" bestFit="1" customWidth="1"/>
    <col min="8" max="8" width="21.77734375" bestFit="1" customWidth="1"/>
    <col min="11" max="11" width="10.33203125" bestFit="1" customWidth="1"/>
    <col min="12" max="12" width="8.33203125" bestFit="1" customWidth="1"/>
    <col min="13" max="13" width="7.77734375" bestFit="1" customWidth="1"/>
    <col min="14" max="14" width="8.6640625" bestFit="1" customWidth="1"/>
    <col min="15" max="15" width="11.44140625" bestFit="1" customWidth="1"/>
    <col min="16" max="16" width="11.5546875" bestFit="1" customWidth="1"/>
    <col min="17" max="17" width="7.21875" bestFit="1" customWidth="1"/>
    <col min="18" max="18" width="11.21875" bestFit="1" customWidth="1"/>
    <col min="19" max="19" width="10.21875" bestFit="1" customWidth="1"/>
  </cols>
  <sheetData>
    <row r="1" spans="1:19" x14ac:dyDescent="0.3">
      <c r="A1" s="37" t="s">
        <v>0</v>
      </c>
      <c r="B1" s="37"/>
      <c r="C1" s="37"/>
      <c r="D1" s="37"/>
      <c r="E1" s="37"/>
      <c r="F1" s="37"/>
      <c r="G1" s="37"/>
      <c r="H1" s="37"/>
    </row>
    <row r="2" spans="1:19" ht="23.4" x14ac:dyDescent="0.45">
      <c r="A2" s="38" t="s">
        <v>117</v>
      </c>
      <c r="B2" s="38"/>
      <c r="C2" s="38"/>
      <c r="D2" s="38"/>
      <c r="E2" s="38"/>
      <c r="F2" s="38"/>
      <c r="G2" s="38"/>
      <c r="H2" s="38"/>
      <c r="K2" s="44" t="s">
        <v>103</v>
      </c>
      <c r="L2" s="44"/>
      <c r="M2" s="44"/>
      <c r="N2" s="44"/>
      <c r="O2" s="44"/>
      <c r="P2" s="44"/>
      <c r="Q2" s="44"/>
      <c r="R2" s="44"/>
      <c r="S2" s="44"/>
    </row>
    <row r="3" spans="1:19" x14ac:dyDescent="0.3">
      <c r="A3" s="39" t="s">
        <v>1</v>
      </c>
      <c r="B3" s="39"/>
      <c r="C3" s="39"/>
      <c r="D3" s="39"/>
      <c r="E3" s="39"/>
      <c r="F3" s="39"/>
      <c r="G3" s="39"/>
      <c r="H3" s="39"/>
    </row>
    <row r="4" spans="1:19" ht="72" x14ac:dyDescent="0.3">
      <c r="A4" s="2"/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8</v>
      </c>
      <c r="H4" s="2" t="s">
        <v>9</v>
      </c>
      <c r="K4" s="24"/>
      <c r="L4" s="23" t="s">
        <v>3</v>
      </c>
      <c r="M4" s="23" t="s">
        <v>4</v>
      </c>
      <c r="N4" s="23" t="s">
        <v>5</v>
      </c>
      <c r="O4" s="23" t="s">
        <v>6</v>
      </c>
      <c r="P4" s="23" t="s">
        <v>7</v>
      </c>
      <c r="Q4" s="23" t="s">
        <v>8</v>
      </c>
      <c r="R4" s="23" t="s">
        <v>9</v>
      </c>
      <c r="S4" s="24" t="s">
        <v>104</v>
      </c>
    </row>
    <row r="5" spans="1:19" x14ac:dyDescent="0.3">
      <c r="A5" s="3" t="s">
        <v>10</v>
      </c>
      <c r="B5" s="3"/>
      <c r="C5" s="3">
        <v>5</v>
      </c>
      <c r="D5" s="3"/>
      <c r="E5" s="3">
        <v>2.5</v>
      </c>
      <c r="F5" s="4"/>
      <c r="G5" s="3"/>
      <c r="H5" s="3"/>
      <c r="K5" s="24" t="s">
        <v>104</v>
      </c>
      <c r="L5" s="24">
        <f t="shared" ref="L5:R5" si="0">SUM(B5:B42)</f>
        <v>0</v>
      </c>
      <c r="M5" s="24">
        <f t="shared" si="0"/>
        <v>88.9</v>
      </c>
      <c r="N5" s="24">
        <f t="shared" si="0"/>
        <v>0</v>
      </c>
      <c r="O5" s="24">
        <f t="shared" si="0"/>
        <v>66.5</v>
      </c>
      <c r="P5" s="24">
        <f t="shared" si="0"/>
        <v>84</v>
      </c>
      <c r="Q5" s="24">
        <f t="shared" si="0"/>
        <v>91</v>
      </c>
      <c r="R5" s="24">
        <f t="shared" si="0"/>
        <v>70</v>
      </c>
      <c r="S5" s="24"/>
    </row>
    <row r="6" spans="1:19" x14ac:dyDescent="0.3">
      <c r="A6" s="3" t="s">
        <v>11</v>
      </c>
      <c r="B6" s="3"/>
      <c r="C6" s="3"/>
      <c r="D6" s="3"/>
      <c r="E6" s="3"/>
      <c r="F6" s="3"/>
      <c r="G6" s="3"/>
      <c r="H6" s="3"/>
      <c r="K6" s="24" t="s">
        <v>105</v>
      </c>
      <c r="L6" s="25">
        <f>L5/100</f>
        <v>0</v>
      </c>
      <c r="M6" s="25">
        <f>M5/100</f>
        <v>0.88900000000000001</v>
      </c>
      <c r="N6" s="25">
        <f>N5/6500</f>
        <v>0</v>
      </c>
      <c r="O6" s="25">
        <f>O5/100</f>
        <v>0.66500000000000004</v>
      </c>
      <c r="P6" s="25">
        <f>P5/100</f>
        <v>0.84</v>
      </c>
      <c r="Q6" s="25">
        <f>Q5/100</f>
        <v>0.91</v>
      </c>
      <c r="R6" s="25">
        <f>R5/100</f>
        <v>0.7</v>
      </c>
      <c r="S6" s="24"/>
    </row>
    <row r="7" spans="1:19" x14ac:dyDescent="0.3">
      <c r="A7" s="3" t="s">
        <v>12</v>
      </c>
      <c r="B7" s="3"/>
      <c r="C7" s="3"/>
      <c r="D7" s="3"/>
      <c r="E7" s="3"/>
      <c r="F7" s="3"/>
      <c r="G7" s="3"/>
      <c r="H7" s="3"/>
      <c r="K7" s="24" t="s">
        <v>106</v>
      </c>
      <c r="L7" s="24" t="str">
        <f t="shared" ref="L7:R7" si="1">IF(L6&gt;=90%,"A+",IF(L6&gt;=85%,"A",IF(L6&gt;=80%,"A-",IF(L6&gt;=77%,"B+",IF(L6&gt;=73%,"B",IF(L6&gt;=70%,"B-",IF(L6&gt;=67%,"C+",IF(L6&gt;=63%,"C",IF(L6&gt;=60%,"C-",IF(L6&gt;=57%,"D+",IF(L6&gt;=53%,"D",IF(L6&gt;=50%,"D-","F"))))))))))))</f>
        <v>F</v>
      </c>
      <c r="M7" s="24" t="str">
        <f t="shared" si="1"/>
        <v>A</v>
      </c>
      <c r="N7" s="24" t="str">
        <f t="shared" si="1"/>
        <v>F</v>
      </c>
      <c r="O7" s="24" t="str">
        <f t="shared" si="1"/>
        <v>C</v>
      </c>
      <c r="P7" s="24" t="str">
        <f t="shared" si="1"/>
        <v>A-</v>
      </c>
      <c r="Q7" s="24" t="str">
        <f t="shared" si="1"/>
        <v>A+</v>
      </c>
      <c r="R7" s="24" t="str">
        <f t="shared" si="1"/>
        <v>B-</v>
      </c>
      <c r="S7" s="24"/>
    </row>
    <row r="8" spans="1:19" x14ac:dyDescent="0.3">
      <c r="A8" s="3" t="s">
        <v>13</v>
      </c>
      <c r="B8" s="3"/>
      <c r="C8" s="3"/>
      <c r="D8" s="3"/>
      <c r="E8" s="3"/>
      <c r="F8" s="3"/>
      <c r="G8" s="3"/>
      <c r="H8" s="3"/>
      <c r="K8" s="24" t="s">
        <v>107</v>
      </c>
      <c r="L8" s="24">
        <f t="shared" ref="L8:R8" si="2">IF(L6&gt;=90%,12,IF(L6&gt;=85%,11,IF(L6&gt;=80%,10,IF(L6&gt;=77%,9,IF(L6&gt;=73%,8,IF(L6&gt;=70%,7,IF(L6&gt;=67%,6,IF(L6&gt;=63%,5,IF(L6&gt;=60%,4,IF(L6&gt;=57%,3,IF(L6&gt;=53%,2,IF(L6&gt;=50%,1,0))))))))))))</f>
        <v>0</v>
      </c>
      <c r="M8" s="24">
        <f t="shared" si="2"/>
        <v>11</v>
      </c>
      <c r="N8" s="24">
        <f t="shared" si="2"/>
        <v>0</v>
      </c>
      <c r="O8" s="24">
        <f t="shared" si="2"/>
        <v>5</v>
      </c>
      <c r="P8" s="24">
        <f t="shared" si="2"/>
        <v>10</v>
      </c>
      <c r="Q8" s="24">
        <f t="shared" si="2"/>
        <v>12</v>
      </c>
      <c r="R8" s="24">
        <f t="shared" si="2"/>
        <v>7</v>
      </c>
      <c r="S8" s="24">
        <f>SUM(L8:R8)</f>
        <v>45</v>
      </c>
    </row>
    <row r="9" spans="1:19" x14ac:dyDescent="0.3">
      <c r="A9" s="3" t="s">
        <v>14</v>
      </c>
      <c r="B9" s="3"/>
      <c r="C9" s="3"/>
      <c r="D9" s="3"/>
      <c r="E9" s="3"/>
      <c r="F9" s="3"/>
      <c r="G9" s="3"/>
      <c r="H9" s="3"/>
      <c r="K9" s="24" t="s">
        <v>108</v>
      </c>
      <c r="L9" s="24">
        <f t="shared" ref="L9:R9" si="3">IF(L6&gt;=90%,4,IF(L6&gt;=85%,3.9,IF(L6&gt;=80%,3.7,IF(L6&gt;=77%,3.3,IF(L6&gt;=73%,3,IF(L6&gt;=70%,2.7,IF(L6&gt;=67%,2.3,IF(L6&gt;=63%,2,IF(L6&gt;=60%,1.7,IF(L6&gt;=57%,1.3,IF(L6&gt;=53%,1,IF(L6&gt;=50%,0.7,0))))))))))))</f>
        <v>0</v>
      </c>
      <c r="M9" s="24">
        <f t="shared" si="3"/>
        <v>3.9</v>
      </c>
      <c r="N9" s="24">
        <f t="shared" si="3"/>
        <v>0</v>
      </c>
      <c r="O9" s="24">
        <f t="shared" si="3"/>
        <v>2</v>
      </c>
      <c r="P9" s="24">
        <f t="shared" si="3"/>
        <v>3.7</v>
      </c>
      <c r="Q9" s="24">
        <f t="shared" si="3"/>
        <v>4</v>
      </c>
      <c r="R9" s="24">
        <f t="shared" si="3"/>
        <v>2.7</v>
      </c>
      <c r="S9" s="24">
        <f>SUM(L9:R9)</f>
        <v>16.3</v>
      </c>
    </row>
    <row r="10" spans="1:19" x14ac:dyDescent="0.3">
      <c r="A10" s="3" t="s">
        <v>15</v>
      </c>
      <c r="B10" s="3"/>
      <c r="C10" s="3"/>
      <c r="D10" s="3"/>
      <c r="E10" s="3"/>
      <c r="F10" s="3"/>
      <c r="G10" s="3"/>
      <c r="H10" s="3"/>
    </row>
    <row r="11" spans="1:19" x14ac:dyDescent="0.3">
      <c r="A11" s="3" t="s">
        <v>16</v>
      </c>
      <c r="B11" s="3"/>
      <c r="C11" s="3"/>
      <c r="D11" s="3"/>
      <c r="E11" s="3"/>
      <c r="F11" s="3"/>
      <c r="G11" s="3"/>
      <c r="H11" s="3">
        <v>20</v>
      </c>
    </row>
    <row r="12" spans="1:19" x14ac:dyDescent="0.3">
      <c r="A12" s="3" t="s">
        <v>17</v>
      </c>
      <c r="B12" s="3"/>
      <c r="C12" s="3"/>
      <c r="D12" s="3"/>
      <c r="E12" s="3"/>
      <c r="F12" s="3"/>
      <c r="G12" s="3"/>
      <c r="H12" s="3"/>
    </row>
    <row r="13" spans="1:19" x14ac:dyDescent="0.3">
      <c r="A13" s="3" t="s">
        <v>18</v>
      </c>
      <c r="B13" s="3"/>
      <c r="C13" s="3"/>
      <c r="D13" s="3"/>
      <c r="E13" s="3"/>
      <c r="F13" s="3"/>
      <c r="G13" s="3"/>
      <c r="H13" s="3"/>
    </row>
    <row r="14" spans="1:19" x14ac:dyDescent="0.3">
      <c r="A14" s="3" t="s">
        <v>19</v>
      </c>
      <c r="B14" s="3"/>
      <c r="C14" s="3"/>
      <c r="D14" s="3"/>
      <c r="E14" s="3"/>
      <c r="F14" s="3"/>
      <c r="G14" s="3"/>
      <c r="H14" s="3"/>
    </row>
    <row r="15" spans="1:19" x14ac:dyDescent="0.3">
      <c r="A15" s="3" t="s">
        <v>20</v>
      </c>
      <c r="B15" s="3"/>
      <c r="C15" s="3"/>
      <c r="D15" s="3"/>
      <c r="E15" s="3"/>
      <c r="F15" s="3"/>
      <c r="G15" s="3">
        <v>5</v>
      </c>
      <c r="H15" s="3"/>
    </row>
    <row r="16" spans="1:19" x14ac:dyDescent="0.3">
      <c r="A16" s="3" t="s">
        <v>21</v>
      </c>
      <c r="B16" s="3"/>
      <c r="C16" s="3"/>
      <c r="D16" s="3"/>
      <c r="E16" s="3"/>
      <c r="F16" s="3">
        <v>9</v>
      </c>
      <c r="G16" s="3">
        <v>5</v>
      </c>
      <c r="H16" s="3"/>
    </row>
    <row r="17" spans="1:8" x14ac:dyDescent="0.3">
      <c r="A17" s="3" t="s">
        <v>22</v>
      </c>
      <c r="B17" s="3"/>
      <c r="C17" s="3"/>
      <c r="D17" s="3"/>
      <c r="E17" s="3"/>
      <c r="F17" s="3"/>
      <c r="G17" s="3"/>
      <c r="H17" s="3"/>
    </row>
    <row r="18" spans="1:8" x14ac:dyDescent="0.3">
      <c r="A18" s="3" t="s">
        <v>23</v>
      </c>
      <c r="B18" s="3"/>
      <c r="C18" s="3"/>
      <c r="D18" s="3"/>
      <c r="E18" s="3"/>
      <c r="F18" s="3"/>
      <c r="G18" s="3"/>
      <c r="H18" s="3">
        <v>50</v>
      </c>
    </row>
    <row r="19" spans="1:8" x14ac:dyDescent="0.3">
      <c r="A19" s="3" t="s">
        <v>24</v>
      </c>
      <c r="B19" s="3"/>
      <c r="C19" s="3"/>
      <c r="D19" s="3"/>
      <c r="E19" s="3"/>
      <c r="F19" s="3"/>
      <c r="G19" s="3"/>
      <c r="H19" s="3"/>
    </row>
    <row r="20" spans="1:8" x14ac:dyDescent="0.3">
      <c r="A20" s="3" t="s">
        <v>25</v>
      </c>
      <c r="B20" s="3"/>
      <c r="C20" s="3"/>
      <c r="D20" s="3"/>
      <c r="E20" s="3"/>
      <c r="F20" s="3"/>
      <c r="G20" s="3"/>
      <c r="H20" s="3"/>
    </row>
    <row r="21" spans="1:8" x14ac:dyDescent="0.3">
      <c r="A21" s="3" t="s">
        <v>26</v>
      </c>
      <c r="B21" s="3"/>
      <c r="C21" s="3">
        <v>5</v>
      </c>
      <c r="D21" s="3"/>
      <c r="E21" s="3"/>
      <c r="F21" s="3">
        <v>10</v>
      </c>
      <c r="G21" s="3"/>
      <c r="H21" s="3"/>
    </row>
    <row r="22" spans="1:8" x14ac:dyDescent="0.3">
      <c r="A22" s="3" t="s">
        <v>27</v>
      </c>
      <c r="B22" s="3"/>
      <c r="C22" s="3">
        <v>10.9</v>
      </c>
      <c r="D22" s="3"/>
      <c r="E22" s="3"/>
      <c r="F22" s="3">
        <v>10</v>
      </c>
      <c r="G22" s="3"/>
      <c r="H22" s="3"/>
    </row>
    <row r="23" spans="1:8" x14ac:dyDescent="0.3">
      <c r="A23" s="3" t="s">
        <v>28</v>
      </c>
      <c r="B23" s="3"/>
      <c r="C23" s="3"/>
      <c r="D23" s="3"/>
      <c r="E23" s="3"/>
      <c r="F23" s="3"/>
      <c r="G23" s="3"/>
      <c r="H23" s="3"/>
    </row>
    <row r="24" spans="1:8" x14ac:dyDescent="0.3">
      <c r="A24" s="3" t="s">
        <v>29</v>
      </c>
      <c r="B24" s="3"/>
      <c r="C24" s="3"/>
      <c r="D24" s="3"/>
      <c r="E24" s="3"/>
      <c r="F24" s="3"/>
      <c r="G24" s="3"/>
      <c r="H24" s="3"/>
    </row>
    <row r="25" spans="1:8" x14ac:dyDescent="0.3">
      <c r="A25" s="3" t="s">
        <v>30</v>
      </c>
      <c r="B25" s="3"/>
      <c r="C25" s="3"/>
      <c r="D25" s="3"/>
      <c r="E25" s="3"/>
      <c r="F25" s="3"/>
      <c r="G25" s="3"/>
      <c r="H25" s="3"/>
    </row>
    <row r="26" spans="1:8" x14ac:dyDescent="0.3">
      <c r="A26" s="3" t="s">
        <v>31</v>
      </c>
      <c r="B26" s="3"/>
      <c r="C26" s="3">
        <v>23</v>
      </c>
      <c r="D26" s="3"/>
      <c r="E26" s="3">
        <v>9</v>
      </c>
      <c r="F26" s="3">
        <v>8</v>
      </c>
      <c r="G26" s="3"/>
      <c r="H26" s="3"/>
    </row>
    <row r="27" spans="1:8" x14ac:dyDescent="0.3">
      <c r="A27" s="3" t="s">
        <v>32</v>
      </c>
      <c r="B27" s="3"/>
      <c r="C27" s="3">
        <v>10</v>
      </c>
      <c r="D27" s="3"/>
      <c r="E27" s="3"/>
      <c r="F27" s="3">
        <v>8</v>
      </c>
      <c r="G27" s="3"/>
      <c r="H27" s="3"/>
    </row>
    <row r="28" spans="1:8" x14ac:dyDescent="0.3">
      <c r="A28" s="3" t="s">
        <v>33</v>
      </c>
      <c r="B28" s="3"/>
      <c r="C28" s="3"/>
      <c r="D28" s="3"/>
      <c r="E28" s="3"/>
      <c r="F28" s="3">
        <v>7</v>
      </c>
      <c r="G28" s="3"/>
      <c r="H28" s="3"/>
    </row>
    <row r="29" spans="1:8" x14ac:dyDescent="0.3">
      <c r="A29" s="3" t="s">
        <v>34</v>
      </c>
      <c r="B29" s="3"/>
      <c r="C29" s="3"/>
      <c r="D29" s="3"/>
      <c r="E29" s="3"/>
      <c r="F29" s="3"/>
      <c r="G29" s="3"/>
      <c r="H29" s="3"/>
    </row>
    <row r="30" spans="1:8" x14ac:dyDescent="0.3">
      <c r="A30" s="3" t="s">
        <v>35</v>
      </c>
      <c r="B30" s="3"/>
      <c r="C30" s="3"/>
      <c r="D30" s="3"/>
      <c r="E30" s="3"/>
      <c r="F30" s="3"/>
      <c r="G30" s="3"/>
      <c r="H30" s="3"/>
    </row>
    <row r="31" spans="1:8" x14ac:dyDescent="0.3">
      <c r="A31" s="3" t="s">
        <v>36</v>
      </c>
      <c r="B31" s="3"/>
      <c r="C31" s="3">
        <v>35</v>
      </c>
      <c r="D31" s="3"/>
      <c r="E31" s="3">
        <v>12</v>
      </c>
      <c r="F31" s="3"/>
      <c r="G31" s="3"/>
      <c r="H31" s="3"/>
    </row>
    <row r="32" spans="1:8" x14ac:dyDescent="0.3">
      <c r="A32" s="3" t="s">
        <v>37</v>
      </c>
      <c r="B32" s="3"/>
      <c r="C32" s="3"/>
      <c r="D32" s="3"/>
      <c r="E32" s="3"/>
      <c r="F32" s="3"/>
      <c r="G32" s="3"/>
      <c r="H32" s="3"/>
    </row>
    <row r="33" spans="1:8" x14ac:dyDescent="0.3">
      <c r="A33" s="3" t="s">
        <v>38</v>
      </c>
      <c r="B33" s="3"/>
      <c r="C33" s="3"/>
      <c r="D33" s="3"/>
      <c r="E33" s="3"/>
      <c r="F33" s="3"/>
      <c r="G33" s="3"/>
      <c r="H33" s="3"/>
    </row>
    <row r="34" spans="1:8" x14ac:dyDescent="0.3">
      <c r="A34" s="3" t="s">
        <v>39</v>
      </c>
      <c r="B34" s="3"/>
      <c r="C34" s="3"/>
      <c r="D34" s="3"/>
      <c r="E34" s="3"/>
      <c r="F34" s="3"/>
      <c r="G34" s="3"/>
      <c r="H34" s="3"/>
    </row>
    <row r="35" spans="1:8" x14ac:dyDescent="0.3">
      <c r="A35" s="3" t="s">
        <v>40</v>
      </c>
      <c r="B35" s="3"/>
      <c r="C35" s="3"/>
      <c r="D35" s="3"/>
      <c r="E35" s="3"/>
      <c r="F35" s="3"/>
      <c r="G35" s="3"/>
      <c r="H35" s="3"/>
    </row>
    <row r="36" spans="1:8" x14ac:dyDescent="0.3">
      <c r="A36" s="3" t="s">
        <v>41</v>
      </c>
      <c r="B36" s="3"/>
      <c r="C36" s="3"/>
      <c r="D36" s="3"/>
      <c r="E36" s="3">
        <v>4</v>
      </c>
      <c r="F36" s="3"/>
      <c r="G36" s="3"/>
      <c r="H36" s="3"/>
    </row>
    <row r="37" spans="1:8" x14ac:dyDescent="0.3">
      <c r="A37" s="3" t="s">
        <v>42</v>
      </c>
      <c r="B37" s="3"/>
      <c r="C37" s="3"/>
      <c r="D37" s="3"/>
      <c r="E37" s="3">
        <v>4</v>
      </c>
      <c r="F37" s="3"/>
      <c r="G37" s="3"/>
      <c r="H37" s="3"/>
    </row>
    <row r="38" spans="1:8" x14ac:dyDescent="0.3">
      <c r="A38" s="3" t="s">
        <v>43</v>
      </c>
      <c r="B38" s="3"/>
      <c r="C38" s="3"/>
      <c r="D38" s="3"/>
      <c r="E38" s="3">
        <v>0</v>
      </c>
      <c r="F38" s="3"/>
      <c r="G38" s="3"/>
      <c r="H38" s="3"/>
    </row>
    <row r="39" spans="1:8" x14ac:dyDescent="0.3">
      <c r="A39" s="3" t="s">
        <v>44</v>
      </c>
      <c r="B39" s="3"/>
      <c r="C39" s="3"/>
      <c r="D39" s="3"/>
      <c r="E39" s="3">
        <v>11</v>
      </c>
      <c r="F39" s="3">
        <v>15</v>
      </c>
      <c r="G39" s="3"/>
      <c r="H39" s="3"/>
    </row>
    <row r="40" spans="1:8" x14ac:dyDescent="0.3">
      <c r="A40" s="5" t="s">
        <v>45</v>
      </c>
      <c r="B40" s="3"/>
      <c r="C40" s="3"/>
      <c r="D40" s="3"/>
      <c r="E40" s="3">
        <v>24</v>
      </c>
      <c r="F40" s="3">
        <v>17</v>
      </c>
      <c r="G40" s="3">
        <v>81</v>
      </c>
      <c r="H40" s="3"/>
    </row>
    <row r="41" spans="1:8" x14ac:dyDescent="0.3">
      <c r="A41" s="4"/>
      <c r="B41" s="3"/>
      <c r="C41" s="3"/>
      <c r="D41" s="3"/>
      <c r="E41" s="3"/>
      <c r="F41" s="3"/>
      <c r="G41" s="3"/>
      <c r="H41" s="3"/>
    </row>
    <row r="42" spans="1:8" x14ac:dyDescent="0.3">
      <c r="A42" s="4"/>
      <c r="B42" s="3"/>
      <c r="C42" s="3"/>
      <c r="D42" s="3"/>
      <c r="E42" s="3"/>
      <c r="F42" s="3"/>
      <c r="G42" s="3"/>
      <c r="H42" s="3"/>
    </row>
    <row r="43" spans="1:8" ht="15" thickBot="1" x14ac:dyDescent="0.35">
      <c r="A43" s="1" t="s">
        <v>46</v>
      </c>
      <c r="B43" s="6">
        <f t="shared" ref="B43:H43" si="4">SUM(B5:B42)</f>
        <v>0</v>
      </c>
      <c r="C43" s="6">
        <f t="shared" si="4"/>
        <v>88.9</v>
      </c>
      <c r="D43" s="6">
        <f t="shared" si="4"/>
        <v>0</v>
      </c>
      <c r="E43" s="6">
        <f t="shared" si="4"/>
        <v>66.5</v>
      </c>
      <c r="F43" s="6">
        <f t="shared" si="4"/>
        <v>84</v>
      </c>
      <c r="G43" s="6">
        <f t="shared" si="4"/>
        <v>91</v>
      </c>
      <c r="H43" s="6">
        <f t="shared" si="4"/>
        <v>70</v>
      </c>
    </row>
    <row r="44" spans="1:8" ht="15" thickTop="1" x14ac:dyDescent="0.3">
      <c r="A44" s="1" t="s">
        <v>47</v>
      </c>
      <c r="B44" s="7">
        <f>B43/100</f>
        <v>0</v>
      </c>
      <c r="C44" s="7">
        <f>C43/100</f>
        <v>0.88900000000000001</v>
      </c>
      <c r="D44" s="7">
        <f>D43/6500</f>
        <v>0</v>
      </c>
      <c r="E44" s="7">
        <f>E43/100</f>
        <v>0.66500000000000004</v>
      </c>
      <c r="F44" s="7">
        <f>F43/100</f>
        <v>0.84</v>
      </c>
      <c r="G44" s="7">
        <f>G43/100</f>
        <v>0.91</v>
      </c>
      <c r="H44" s="7">
        <f>H43/100</f>
        <v>0.7</v>
      </c>
    </row>
    <row r="45" spans="1:8" x14ac:dyDescent="0.3">
      <c r="A45" s="8"/>
      <c r="B45" s="4"/>
      <c r="C45" s="4"/>
      <c r="D45" s="4"/>
      <c r="E45" s="4"/>
      <c r="F45" s="4"/>
      <c r="G45" s="4"/>
      <c r="H45" s="4"/>
    </row>
    <row r="46" spans="1:8" x14ac:dyDescent="0.3">
      <c r="A46" s="8"/>
      <c r="B46" s="1"/>
      <c r="C46" s="1"/>
      <c r="D46" s="1"/>
      <c r="E46" s="1"/>
      <c r="F46" s="1"/>
      <c r="G46" s="1"/>
      <c r="H46" s="1"/>
    </row>
    <row r="47" spans="1:8" x14ac:dyDescent="0.3">
      <c r="A47" s="8"/>
      <c r="B47" s="17"/>
      <c r="C47" s="17"/>
      <c r="D47" s="17"/>
      <c r="E47" s="17"/>
      <c r="F47" s="17"/>
      <c r="G47" s="17"/>
      <c r="H47" s="17"/>
    </row>
    <row r="48" spans="1:8" x14ac:dyDescent="0.3">
      <c r="A48" s="8"/>
      <c r="B48" s="8"/>
      <c r="C48" s="8"/>
      <c r="D48" s="8"/>
      <c r="E48" s="8"/>
      <c r="F48" s="8"/>
      <c r="G48" s="8"/>
      <c r="H48" s="8"/>
    </row>
    <row r="49" spans="1:18" x14ac:dyDescent="0.3">
      <c r="A49" s="8"/>
      <c r="B49" s="8"/>
      <c r="C49" s="8"/>
      <c r="D49" s="8"/>
      <c r="E49" s="8"/>
      <c r="F49" s="8"/>
      <c r="G49" s="8"/>
      <c r="H49" s="8"/>
    </row>
    <row r="50" spans="1:18" ht="15" thickBot="1" x14ac:dyDescent="0.35">
      <c r="A50" s="8"/>
      <c r="B50" s="8"/>
      <c r="C50" s="8"/>
      <c r="D50" s="8"/>
      <c r="E50" s="8"/>
      <c r="F50" s="8"/>
      <c r="G50" s="8"/>
      <c r="H50" s="8"/>
    </row>
    <row r="51" spans="1:18" x14ac:dyDescent="0.3">
      <c r="A51" s="40" t="s">
        <v>0</v>
      </c>
      <c r="B51" s="40"/>
      <c r="C51" s="40"/>
      <c r="D51" s="40"/>
      <c r="E51" s="40"/>
      <c r="F51" s="40"/>
      <c r="G51" s="8"/>
      <c r="H51" s="8"/>
    </row>
    <row r="52" spans="1:18" ht="21" x14ac:dyDescent="0.4">
      <c r="A52" s="37" t="s">
        <v>48</v>
      </c>
      <c r="B52" s="37"/>
      <c r="C52" s="37"/>
      <c r="D52" s="37"/>
      <c r="E52" s="37"/>
      <c r="F52" s="37"/>
      <c r="G52" s="8"/>
      <c r="H52" s="8"/>
      <c r="K52" s="41" t="s">
        <v>102</v>
      </c>
      <c r="L52" s="41"/>
      <c r="M52" s="41"/>
      <c r="N52" s="41"/>
      <c r="O52" s="41"/>
      <c r="P52" s="41"/>
      <c r="Q52" s="41"/>
      <c r="R52" s="41"/>
    </row>
    <row r="53" spans="1:18" x14ac:dyDescent="0.3">
      <c r="A53" s="39" t="s">
        <v>1</v>
      </c>
      <c r="B53" s="39"/>
      <c r="C53" s="39"/>
      <c r="D53" s="39"/>
      <c r="E53" s="39"/>
      <c r="F53" s="39"/>
      <c r="G53" s="39"/>
      <c r="H53" s="39"/>
    </row>
    <row r="54" spans="1:18" ht="72" x14ac:dyDescent="0.3">
      <c r="A54" s="9" t="s">
        <v>2</v>
      </c>
      <c r="B54" s="10" t="s">
        <v>49</v>
      </c>
      <c r="C54" s="10" t="s">
        <v>50</v>
      </c>
      <c r="D54" s="10" t="s">
        <v>51</v>
      </c>
      <c r="E54" s="10" t="s">
        <v>52</v>
      </c>
      <c r="F54" s="10" t="s">
        <v>53</v>
      </c>
      <c r="G54" s="2" t="s">
        <v>54</v>
      </c>
      <c r="H54" s="8"/>
      <c r="K54" s="24"/>
      <c r="L54" s="23" t="s">
        <v>49</v>
      </c>
      <c r="M54" s="23" t="s">
        <v>50</v>
      </c>
      <c r="N54" s="23" t="s">
        <v>51</v>
      </c>
      <c r="O54" s="23" t="s">
        <v>52</v>
      </c>
      <c r="P54" s="23" t="s">
        <v>53</v>
      </c>
      <c r="Q54" s="23" t="s">
        <v>54</v>
      </c>
      <c r="R54" s="24" t="s">
        <v>104</v>
      </c>
    </row>
    <row r="55" spans="1:18" x14ac:dyDescent="0.3">
      <c r="A55" s="11" t="s">
        <v>55</v>
      </c>
      <c r="B55" s="12"/>
      <c r="C55" s="13"/>
      <c r="D55" s="13"/>
      <c r="E55" s="12"/>
      <c r="F55" s="13">
        <v>5</v>
      </c>
      <c r="G55" s="13">
        <v>50</v>
      </c>
      <c r="H55" s="8"/>
      <c r="K55" s="24" t="s">
        <v>104</v>
      </c>
      <c r="L55" s="24">
        <f t="shared" ref="L55:Q55" si="5">SUM(B55:B75)</f>
        <v>82</v>
      </c>
      <c r="M55" s="24">
        <f t="shared" si="5"/>
        <v>0</v>
      </c>
      <c r="N55" s="24">
        <f t="shared" si="5"/>
        <v>91</v>
      </c>
      <c r="O55" s="24">
        <f t="shared" si="5"/>
        <v>33</v>
      </c>
      <c r="P55" s="24">
        <f t="shared" si="5"/>
        <v>91</v>
      </c>
      <c r="Q55" s="24">
        <f t="shared" si="5"/>
        <v>100</v>
      </c>
      <c r="R55" s="24"/>
    </row>
    <row r="56" spans="1:18" x14ac:dyDescent="0.3">
      <c r="A56" s="14" t="s">
        <v>56</v>
      </c>
      <c r="B56" s="13"/>
      <c r="C56" s="13"/>
      <c r="D56" s="13"/>
      <c r="E56" s="13"/>
      <c r="F56" s="13"/>
      <c r="G56" s="13"/>
      <c r="H56" s="8"/>
      <c r="K56" s="24" t="s">
        <v>105</v>
      </c>
      <c r="L56" s="25">
        <f t="shared" ref="L56:Q56" si="6">L55/100</f>
        <v>0.82</v>
      </c>
      <c r="M56" s="25">
        <f t="shared" si="6"/>
        <v>0</v>
      </c>
      <c r="N56" s="25">
        <f t="shared" si="6"/>
        <v>0.91</v>
      </c>
      <c r="O56" s="25">
        <f t="shared" si="6"/>
        <v>0.33</v>
      </c>
      <c r="P56" s="25">
        <f t="shared" si="6"/>
        <v>0.91</v>
      </c>
      <c r="Q56" s="25">
        <f t="shared" si="6"/>
        <v>1</v>
      </c>
      <c r="R56" s="24"/>
    </row>
    <row r="57" spans="1:18" x14ac:dyDescent="0.3">
      <c r="A57" s="14" t="s">
        <v>57</v>
      </c>
      <c r="B57" s="13"/>
      <c r="C57" s="13"/>
      <c r="D57" s="13"/>
      <c r="E57" s="13"/>
      <c r="F57" s="13"/>
      <c r="G57" s="13"/>
      <c r="H57" s="8"/>
      <c r="K57" s="24" t="s">
        <v>106</v>
      </c>
      <c r="L57" s="24" t="str">
        <f t="shared" ref="L57:Q57" si="7">IF(L56&gt;=90%,"A+",IF(L56&gt;=85%,"A",IF(L56&gt;=80%,"A-",IF(L56&gt;=77%,"B+",IF(L56&gt;=73%,"B",IF(L56&gt;=70%,"B-",IF(L56&gt;=67%,"C+",IF(L56&gt;=63%,"C",IF(L56&gt;=60%,"C-",IF(L56&gt;=57%,"D+",IF(L56&gt;=53%,"D",IF(L56&gt;=50%,"D-","F"))))))))))))</f>
        <v>A-</v>
      </c>
      <c r="M57" s="24" t="str">
        <f t="shared" si="7"/>
        <v>F</v>
      </c>
      <c r="N57" s="24" t="str">
        <f t="shared" si="7"/>
        <v>A+</v>
      </c>
      <c r="O57" s="24" t="str">
        <f t="shared" si="7"/>
        <v>F</v>
      </c>
      <c r="P57" s="24" t="str">
        <f t="shared" si="7"/>
        <v>A+</v>
      </c>
      <c r="Q57" s="24" t="str">
        <f t="shared" si="7"/>
        <v>A+</v>
      </c>
      <c r="R57" s="24"/>
    </row>
    <row r="58" spans="1:18" x14ac:dyDescent="0.3">
      <c r="A58" s="14" t="s">
        <v>26</v>
      </c>
      <c r="B58" s="13"/>
      <c r="C58" s="13"/>
      <c r="D58" s="13"/>
      <c r="E58" s="13"/>
      <c r="F58" s="13"/>
      <c r="G58" s="13"/>
      <c r="H58" s="8"/>
      <c r="K58" s="24" t="s">
        <v>107</v>
      </c>
      <c r="L58" s="24">
        <f t="shared" ref="L58:Q58" si="8">IF(L56&gt;=90%,12,IF(L56&gt;=85%,11,IF(L56&gt;=80%,10,IF(L56&gt;=77%,9,IF(L56&gt;=73%,8,IF(L56&gt;=70%,7,IF(L56&gt;=67%,6,IF(L56&gt;=63%,5,IF(L56&gt;=60%,4,IF(L56&gt;=57%,3,IF(L56&gt;=53%,2,IF(L56&gt;=50%,1,0))))))))))))</f>
        <v>10</v>
      </c>
      <c r="M58" s="24">
        <f t="shared" si="8"/>
        <v>0</v>
      </c>
      <c r="N58" s="24">
        <f t="shared" si="8"/>
        <v>12</v>
      </c>
      <c r="O58" s="24">
        <f t="shared" si="8"/>
        <v>0</v>
      </c>
      <c r="P58" s="24">
        <f t="shared" si="8"/>
        <v>12</v>
      </c>
      <c r="Q58" s="24">
        <f t="shared" si="8"/>
        <v>12</v>
      </c>
      <c r="R58" s="24">
        <f>SUM(L58:Q58)</f>
        <v>46</v>
      </c>
    </row>
    <row r="59" spans="1:18" x14ac:dyDescent="0.3">
      <c r="A59" s="14" t="s">
        <v>27</v>
      </c>
      <c r="B59" s="13"/>
      <c r="C59" s="13"/>
      <c r="D59" s="13"/>
      <c r="E59" s="13"/>
      <c r="F59" s="13"/>
      <c r="G59" s="13"/>
      <c r="H59" s="8"/>
      <c r="K59" s="24" t="s">
        <v>108</v>
      </c>
      <c r="L59" s="24">
        <f t="shared" ref="L59:Q59" si="9">IF(L56&gt;=90%,4,IF(L56&gt;=85%,3.9,IF(L56&gt;=80%,3.7,IF(L56&gt;=77%,3.3,IF(L56&gt;=73%,3,IF(L56&gt;=70%,2.7,IF(L56&gt;=67%,2.3,IF(L56&gt;=63%,2,IF(L56&gt;=60%,1.7,IF(L56&gt;=57%,1.3,IF(L56&gt;=53%,1,IF(L56&gt;=50%,0.7,0))))))))))))</f>
        <v>3.7</v>
      </c>
      <c r="M59" s="24">
        <f t="shared" si="9"/>
        <v>0</v>
      </c>
      <c r="N59" s="24">
        <f t="shared" si="9"/>
        <v>4</v>
      </c>
      <c r="O59" s="24">
        <f t="shared" si="9"/>
        <v>0</v>
      </c>
      <c r="P59" s="24">
        <f t="shared" si="9"/>
        <v>4</v>
      </c>
      <c r="Q59" s="24">
        <f t="shared" si="9"/>
        <v>4</v>
      </c>
      <c r="R59" s="24">
        <f>SUM(L59:Q59)</f>
        <v>15.7</v>
      </c>
    </row>
    <row r="60" spans="1:18" x14ac:dyDescent="0.3">
      <c r="A60" s="14" t="s">
        <v>28</v>
      </c>
      <c r="B60" s="13"/>
      <c r="C60" s="13"/>
      <c r="D60" s="13"/>
      <c r="E60" s="13"/>
      <c r="F60" s="13"/>
      <c r="G60" s="13"/>
      <c r="H60" s="8"/>
    </row>
    <row r="61" spans="1:18" x14ac:dyDescent="0.3">
      <c r="A61" s="14" t="s">
        <v>58</v>
      </c>
      <c r="B61" s="13">
        <v>5</v>
      </c>
      <c r="C61" s="13"/>
      <c r="D61" s="13">
        <v>5</v>
      </c>
      <c r="E61" s="13"/>
      <c r="F61" s="13">
        <v>5</v>
      </c>
      <c r="G61" s="13"/>
      <c r="H61" s="8"/>
    </row>
    <row r="62" spans="1:18" x14ac:dyDescent="0.3">
      <c r="A62" s="14" t="s">
        <v>31</v>
      </c>
      <c r="B62" s="13">
        <v>29</v>
      </c>
      <c r="C62" s="13"/>
      <c r="D62" s="13"/>
      <c r="E62" s="13"/>
      <c r="F62" s="13"/>
      <c r="G62" s="13"/>
      <c r="H62" s="8"/>
    </row>
    <row r="63" spans="1:18" x14ac:dyDescent="0.3">
      <c r="A63" s="14" t="s">
        <v>32</v>
      </c>
      <c r="B63" s="13">
        <v>27</v>
      </c>
      <c r="C63" s="13"/>
      <c r="D63" s="13"/>
      <c r="E63" s="13"/>
      <c r="F63" s="13"/>
      <c r="G63" s="13"/>
      <c r="H63" s="8"/>
    </row>
    <row r="64" spans="1:18" x14ac:dyDescent="0.3">
      <c r="A64" s="14" t="s">
        <v>33</v>
      </c>
      <c r="B64" s="13">
        <v>21</v>
      </c>
      <c r="C64" s="13"/>
      <c r="D64" s="13">
        <v>7</v>
      </c>
      <c r="E64" s="13">
        <v>8</v>
      </c>
      <c r="F64" s="13"/>
      <c r="G64" s="13"/>
      <c r="H64" s="8"/>
    </row>
    <row r="65" spans="1:8" x14ac:dyDescent="0.3">
      <c r="A65" s="14" t="s">
        <v>59</v>
      </c>
      <c r="B65" s="13"/>
      <c r="C65" s="13"/>
      <c r="D65" s="13">
        <v>9</v>
      </c>
      <c r="E65" s="13"/>
      <c r="F65" s="13"/>
      <c r="G65" s="13"/>
      <c r="H65" s="8"/>
    </row>
    <row r="66" spans="1:8" x14ac:dyDescent="0.3">
      <c r="A66" s="14" t="s">
        <v>60</v>
      </c>
      <c r="B66" s="13"/>
      <c r="C66" s="13"/>
      <c r="D66" s="13">
        <v>8</v>
      </c>
      <c r="E66" s="13"/>
      <c r="F66" s="13"/>
      <c r="G66" s="13">
        <v>50</v>
      </c>
      <c r="H66" s="8"/>
    </row>
    <row r="67" spans="1:8" x14ac:dyDescent="0.3">
      <c r="A67" s="14" t="s">
        <v>60</v>
      </c>
      <c r="B67" s="13"/>
      <c r="C67" s="13"/>
      <c r="D67" s="13">
        <v>10</v>
      </c>
      <c r="E67" s="13"/>
      <c r="F67" s="13"/>
      <c r="G67" s="13"/>
      <c r="H67" s="8"/>
    </row>
    <row r="68" spans="1:8" x14ac:dyDescent="0.3">
      <c r="A68" s="14" t="s">
        <v>36</v>
      </c>
      <c r="B68" s="13"/>
      <c r="C68" s="13"/>
      <c r="D68" s="13">
        <v>21</v>
      </c>
      <c r="E68" s="13"/>
      <c r="F68" s="13"/>
      <c r="G68" s="13"/>
      <c r="H68" s="8"/>
    </row>
    <row r="69" spans="1:8" x14ac:dyDescent="0.3">
      <c r="A69" s="14" t="s">
        <v>37</v>
      </c>
      <c r="B69" s="13"/>
      <c r="C69" s="13"/>
      <c r="D69" s="13"/>
      <c r="E69" s="13"/>
      <c r="F69" s="13"/>
      <c r="G69" s="13"/>
      <c r="H69" s="8"/>
    </row>
    <row r="70" spans="1:8" x14ac:dyDescent="0.3">
      <c r="A70" s="14" t="s">
        <v>43</v>
      </c>
      <c r="B70" s="13"/>
      <c r="C70" s="13"/>
      <c r="D70" s="13"/>
      <c r="E70" s="13"/>
      <c r="F70" s="13"/>
      <c r="G70" s="13"/>
      <c r="H70" s="8"/>
    </row>
    <row r="71" spans="1:8" x14ac:dyDescent="0.3">
      <c r="A71" s="14" t="s">
        <v>61</v>
      </c>
      <c r="B71" s="13"/>
      <c r="C71" s="13"/>
      <c r="D71" s="13"/>
      <c r="E71" s="13"/>
      <c r="F71" s="13"/>
      <c r="G71" s="13"/>
      <c r="H71" s="8"/>
    </row>
    <row r="72" spans="1:8" x14ac:dyDescent="0.3">
      <c r="A72" s="14" t="s">
        <v>44</v>
      </c>
      <c r="B72" s="13"/>
      <c r="C72" s="13"/>
      <c r="D72" s="13">
        <v>11</v>
      </c>
      <c r="E72" s="13">
        <v>12</v>
      </c>
      <c r="F72" s="13"/>
      <c r="G72" s="13"/>
      <c r="H72" s="8"/>
    </row>
    <row r="73" spans="1:8" x14ac:dyDescent="0.3">
      <c r="A73" s="15" t="s">
        <v>45</v>
      </c>
      <c r="B73" s="3"/>
      <c r="C73" s="3"/>
      <c r="D73" s="3">
        <v>20</v>
      </c>
      <c r="E73" s="3">
        <v>13</v>
      </c>
      <c r="F73" s="3">
        <v>81</v>
      </c>
      <c r="G73" s="3"/>
      <c r="H73" s="8"/>
    </row>
    <row r="74" spans="1:8" x14ac:dyDescent="0.3">
      <c r="A74" s="15"/>
      <c r="B74" s="3"/>
      <c r="C74" s="3"/>
      <c r="D74" s="3"/>
      <c r="E74" s="3"/>
      <c r="F74" s="3"/>
      <c r="G74" s="3"/>
      <c r="H74" s="8"/>
    </row>
    <row r="75" spans="1:8" x14ac:dyDescent="0.3">
      <c r="A75" s="15"/>
      <c r="B75" s="3"/>
      <c r="C75" s="3"/>
      <c r="D75" s="3"/>
      <c r="E75" s="3"/>
      <c r="F75" s="3"/>
      <c r="G75" s="3"/>
      <c r="H75" s="8"/>
    </row>
    <row r="76" spans="1:8" ht="15" thickBot="1" x14ac:dyDescent="0.35">
      <c r="A76" s="1" t="s">
        <v>46</v>
      </c>
      <c r="B76" s="6">
        <f t="shared" ref="B76:G76" si="10">SUM(B55:B75)</f>
        <v>82</v>
      </c>
      <c r="C76" s="6">
        <f t="shared" si="10"/>
        <v>0</v>
      </c>
      <c r="D76" s="6">
        <f t="shared" si="10"/>
        <v>91</v>
      </c>
      <c r="E76" s="6">
        <f t="shared" si="10"/>
        <v>33</v>
      </c>
      <c r="F76" s="6">
        <f t="shared" si="10"/>
        <v>91</v>
      </c>
      <c r="G76" s="6">
        <f t="shared" si="10"/>
        <v>100</v>
      </c>
      <c r="H76" s="8"/>
    </row>
    <row r="77" spans="1:8" ht="15" thickTop="1" x14ac:dyDescent="0.3">
      <c r="A77" s="1" t="s">
        <v>47</v>
      </c>
      <c r="B77" s="7">
        <f t="shared" ref="B77:G77" si="11">B76/100</f>
        <v>0.82</v>
      </c>
      <c r="C77" s="7">
        <f t="shared" si="11"/>
        <v>0</v>
      </c>
      <c r="D77" s="7">
        <f t="shared" si="11"/>
        <v>0.91</v>
      </c>
      <c r="E77" s="7">
        <f t="shared" si="11"/>
        <v>0.33</v>
      </c>
      <c r="F77" s="7">
        <f t="shared" si="11"/>
        <v>0.91</v>
      </c>
      <c r="G77" s="7">
        <f t="shared" si="11"/>
        <v>1</v>
      </c>
      <c r="H77" s="8"/>
    </row>
    <row r="78" spans="1:8" x14ac:dyDescent="0.3">
      <c r="A78" s="8"/>
      <c r="B78" s="4"/>
      <c r="C78" s="4"/>
      <c r="D78" s="4"/>
      <c r="E78" s="4"/>
      <c r="F78" s="4"/>
      <c r="G78" s="4"/>
      <c r="H78" s="4"/>
    </row>
    <row r="79" spans="1:8" x14ac:dyDescent="0.3">
      <c r="A79" s="8"/>
      <c r="B79" s="1"/>
      <c r="C79" s="1"/>
      <c r="D79" s="1"/>
      <c r="E79" s="1"/>
      <c r="F79" s="1"/>
      <c r="G79" s="1"/>
      <c r="H79" s="1"/>
    </row>
    <row r="80" spans="1:8" x14ac:dyDescent="0.3">
      <c r="A80" s="8"/>
      <c r="B80" s="17"/>
      <c r="C80" s="17"/>
      <c r="D80" s="17"/>
      <c r="E80" s="17"/>
      <c r="F80" s="17"/>
      <c r="G80" s="17"/>
      <c r="H80" s="17"/>
    </row>
    <row r="81" spans="1:18" x14ac:dyDescent="0.3">
      <c r="A81" s="8"/>
      <c r="B81" s="8"/>
      <c r="C81" s="8"/>
      <c r="D81" s="8"/>
      <c r="E81" s="8"/>
      <c r="F81" s="4"/>
      <c r="G81" s="8"/>
      <c r="H81" s="8"/>
    </row>
    <row r="82" spans="1:18" x14ac:dyDescent="0.3">
      <c r="A82" s="37" t="s">
        <v>0</v>
      </c>
      <c r="B82" s="37"/>
      <c r="C82" s="37"/>
      <c r="D82" s="37"/>
      <c r="E82" s="37"/>
      <c r="F82" s="37"/>
      <c r="G82" s="37"/>
      <c r="H82" s="8"/>
    </row>
    <row r="83" spans="1:18" ht="21" x14ac:dyDescent="0.4">
      <c r="A83" s="38" t="s">
        <v>62</v>
      </c>
      <c r="B83" s="38"/>
      <c r="C83" s="38"/>
      <c r="D83" s="38"/>
      <c r="E83" s="38"/>
      <c r="F83" s="38"/>
      <c r="G83" s="38"/>
      <c r="H83" s="8"/>
      <c r="K83" s="41" t="s">
        <v>101</v>
      </c>
      <c r="L83" s="43"/>
      <c r="M83" s="43"/>
      <c r="N83" s="43"/>
      <c r="O83" s="43"/>
      <c r="P83" s="43"/>
      <c r="Q83" s="43"/>
      <c r="R83" s="43"/>
    </row>
    <row r="84" spans="1:18" x14ac:dyDescent="0.3">
      <c r="A84" s="39" t="s">
        <v>1</v>
      </c>
      <c r="B84" s="39"/>
      <c r="C84" s="39"/>
      <c r="D84" s="39"/>
      <c r="E84" s="39"/>
      <c r="F84" s="39"/>
      <c r="G84" s="39"/>
      <c r="H84" s="8"/>
    </row>
    <row r="85" spans="1:18" ht="86.4" x14ac:dyDescent="0.3">
      <c r="A85" s="2" t="s">
        <v>2</v>
      </c>
      <c r="B85" s="2" t="s">
        <v>63</v>
      </c>
      <c r="C85" s="2" t="s">
        <v>64</v>
      </c>
      <c r="D85" s="2" t="s">
        <v>65</v>
      </c>
      <c r="E85" s="2" t="s">
        <v>66</v>
      </c>
      <c r="F85" s="2" t="s">
        <v>67</v>
      </c>
      <c r="G85" s="2" t="s">
        <v>68</v>
      </c>
      <c r="H85" s="8"/>
      <c r="K85" s="26"/>
      <c r="L85" s="23" t="s">
        <v>63</v>
      </c>
      <c r="M85" s="23" t="s">
        <v>64</v>
      </c>
      <c r="N85" s="23" t="s">
        <v>65</v>
      </c>
      <c r="O85" s="23" t="s">
        <v>66</v>
      </c>
      <c r="P85" s="23" t="s">
        <v>67</v>
      </c>
      <c r="Q85" s="23" t="s">
        <v>68</v>
      </c>
      <c r="R85" s="24" t="s">
        <v>104</v>
      </c>
    </row>
    <row r="86" spans="1:18" x14ac:dyDescent="0.3">
      <c r="A86" s="16" t="s">
        <v>58</v>
      </c>
      <c r="B86" s="13"/>
      <c r="C86" s="13">
        <v>9</v>
      </c>
      <c r="D86" s="13"/>
      <c r="E86" s="13"/>
      <c r="F86" s="13"/>
      <c r="G86" s="3">
        <v>5</v>
      </c>
      <c r="H86" s="8"/>
      <c r="K86" s="26" t="s">
        <v>104</v>
      </c>
      <c r="L86" s="24">
        <f t="shared" ref="L86:Q86" si="12">SUM(B86:B112)</f>
        <v>62.97999999999999</v>
      </c>
      <c r="M86" s="24">
        <f t="shared" si="12"/>
        <v>88</v>
      </c>
      <c r="N86" s="24">
        <f t="shared" si="12"/>
        <v>0</v>
      </c>
      <c r="O86" s="24">
        <f t="shared" si="12"/>
        <v>81</v>
      </c>
      <c r="P86" s="24">
        <f t="shared" si="12"/>
        <v>81</v>
      </c>
      <c r="Q86" s="24">
        <f t="shared" si="12"/>
        <v>95</v>
      </c>
      <c r="R86" s="24"/>
    </row>
    <row r="87" spans="1:18" x14ac:dyDescent="0.3">
      <c r="A87" s="3" t="s">
        <v>69</v>
      </c>
      <c r="B87" s="3"/>
      <c r="C87" s="3"/>
      <c r="D87" s="3"/>
      <c r="E87" s="3"/>
      <c r="F87" s="3"/>
      <c r="G87" s="3"/>
      <c r="H87" s="8"/>
      <c r="K87" s="26" t="s">
        <v>105</v>
      </c>
      <c r="L87" s="25">
        <f t="shared" ref="L87:Q87" si="13">L86/100</f>
        <v>0.62979999999999992</v>
      </c>
      <c r="M87" s="25">
        <f t="shared" si="13"/>
        <v>0.88</v>
      </c>
      <c r="N87" s="25">
        <f t="shared" si="13"/>
        <v>0</v>
      </c>
      <c r="O87" s="25">
        <f t="shared" si="13"/>
        <v>0.81</v>
      </c>
      <c r="P87" s="25">
        <f t="shared" si="13"/>
        <v>0.81</v>
      </c>
      <c r="Q87" s="25">
        <f t="shared" si="13"/>
        <v>0.95</v>
      </c>
      <c r="R87" s="24"/>
    </row>
    <row r="88" spans="1:18" x14ac:dyDescent="0.3">
      <c r="A88" s="3" t="s">
        <v>70</v>
      </c>
      <c r="B88" s="3"/>
      <c r="C88" s="3"/>
      <c r="D88" s="3"/>
      <c r="E88" s="3">
        <v>10</v>
      </c>
      <c r="F88" s="3"/>
      <c r="G88" s="3">
        <v>5</v>
      </c>
      <c r="H88" s="8"/>
      <c r="K88" s="26" t="s">
        <v>106</v>
      </c>
      <c r="L88" s="24" t="str">
        <f t="shared" ref="L88:Q88" si="14">IF(L87&gt;=90%,"A+",IF(L87&gt;=85%,"A",IF(L87&gt;=80%,"A-",IF(L87&gt;=77%,"B+",IF(L87&gt;=73%,"B",IF(L87&gt;=70%,"B-",IF(L87&gt;=67%,"C+",IF(L87&gt;=63%,"C",IF(L87&gt;=60%,"C-",IF(L87&gt;=57%,"D+",IF(L87&gt;=53%,"D",IF(L87&gt;=50%,"D-","F"))))))))))))</f>
        <v>C-</v>
      </c>
      <c r="M88" s="24" t="str">
        <f t="shared" si="14"/>
        <v>A</v>
      </c>
      <c r="N88" s="24" t="str">
        <f t="shared" si="14"/>
        <v>F</v>
      </c>
      <c r="O88" s="24" t="str">
        <f t="shared" si="14"/>
        <v>A-</v>
      </c>
      <c r="P88" s="24" t="str">
        <f t="shared" si="14"/>
        <v>A-</v>
      </c>
      <c r="Q88" s="24" t="str">
        <f t="shared" si="14"/>
        <v>A+</v>
      </c>
      <c r="R88" s="24"/>
    </row>
    <row r="89" spans="1:18" x14ac:dyDescent="0.3">
      <c r="A89" s="3" t="s">
        <v>57</v>
      </c>
      <c r="B89" s="3"/>
      <c r="C89" s="3"/>
      <c r="D89" s="3"/>
      <c r="E89" s="3">
        <v>8</v>
      </c>
      <c r="F89" s="3"/>
      <c r="G89" s="3"/>
      <c r="H89" s="8"/>
      <c r="K89" s="26" t="s">
        <v>107</v>
      </c>
      <c r="L89" s="24">
        <f t="shared" ref="L89:Q89" si="15">IF(L87&gt;=90%,12,IF(L87&gt;=85%,11,IF(L87&gt;=80%,10,IF(L87&gt;=77%,9,IF(L87&gt;=73%,8,IF(L87&gt;=70%,7,IF(L87&gt;=67%,6,IF(L87&gt;=63%,5,IF(L87&gt;=60%,4,IF(L87&gt;=57%,3,IF(L87&gt;=53%,2,IF(L87&gt;=50%,1,0))))))))))))</f>
        <v>4</v>
      </c>
      <c r="M89" s="24">
        <f t="shared" si="15"/>
        <v>11</v>
      </c>
      <c r="N89" s="24">
        <f t="shared" si="15"/>
        <v>0</v>
      </c>
      <c r="O89" s="24">
        <f t="shared" si="15"/>
        <v>10</v>
      </c>
      <c r="P89" s="24">
        <f t="shared" si="15"/>
        <v>10</v>
      </c>
      <c r="Q89" s="24">
        <f t="shared" si="15"/>
        <v>12</v>
      </c>
      <c r="R89" s="24">
        <f>SUM(L89:Q89)</f>
        <v>47</v>
      </c>
    </row>
    <row r="90" spans="1:18" x14ac:dyDescent="0.3">
      <c r="A90" s="3" t="s">
        <v>26</v>
      </c>
      <c r="B90" s="3"/>
      <c r="C90" s="3"/>
      <c r="D90" s="3"/>
      <c r="E90" s="3">
        <v>9</v>
      </c>
      <c r="F90" s="3"/>
      <c r="G90" s="3"/>
      <c r="H90" s="8"/>
      <c r="K90" s="26" t="s">
        <v>108</v>
      </c>
      <c r="L90" s="24">
        <f t="shared" ref="L90:Q90" si="16">IF(L87&gt;=90%,4,IF(L87&gt;=85%,3.9,IF(L87&gt;=80%,3.7,IF(L87&gt;=77%,3.3,IF(L87&gt;=73%,3,IF(L87&gt;=70%,2.7,IF(L87&gt;=67%,2.3,IF(L87&gt;=63%,2,IF(L87&gt;=60%,1.7,IF(L87&gt;=57%,1.3,IF(L87&gt;=53%,1,IF(L87&gt;=50%,0.7,0))))))))))))</f>
        <v>1.7</v>
      </c>
      <c r="M90" s="24">
        <f t="shared" si="16"/>
        <v>3.9</v>
      </c>
      <c r="N90" s="24">
        <f t="shared" si="16"/>
        <v>0</v>
      </c>
      <c r="O90" s="24">
        <f t="shared" si="16"/>
        <v>3.7</v>
      </c>
      <c r="P90" s="24">
        <f t="shared" si="16"/>
        <v>3.7</v>
      </c>
      <c r="Q90" s="24">
        <f t="shared" si="16"/>
        <v>4</v>
      </c>
      <c r="R90" s="24">
        <f>SUM(L90:Q90)</f>
        <v>17</v>
      </c>
    </row>
    <row r="91" spans="1:18" x14ac:dyDescent="0.3">
      <c r="A91" s="3" t="s">
        <v>27</v>
      </c>
      <c r="B91" s="3"/>
      <c r="C91" s="3"/>
      <c r="D91" s="3"/>
      <c r="E91" s="3">
        <v>10</v>
      </c>
      <c r="F91" s="3"/>
      <c r="G91" s="3"/>
      <c r="H91" s="8"/>
    </row>
    <row r="92" spans="1:18" x14ac:dyDescent="0.3">
      <c r="A92" s="3" t="s">
        <v>28</v>
      </c>
      <c r="B92" s="3"/>
      <c r="C92" s="3"/>
      <c r="D92" s="3"/>
      <c r="E92" s="3"/>
      <c r="F92" s="3"/>
      <c r="G92" s="3"/>
      <c r="H92" s="8"/>
    </row>
    <row r="93" spans="1:18" x14ac:dyDescent="0.3">
      <c r="A93" s="3" t="s">
        <v>71</v>
      </c>
      <c r="B93" s="3"/>
      <c r="C93" s="3">
        <v>9</v>
      </c>
      <c r="D93" s="3"/>
      <c r="E93" s="3"/>
      <c r="F93" s="3"/>
      <c r="G93" s="3"/>
      <c r="H93" s="8"/>
    </row>
    <row r="94" spans="1:18" x14ac:dyDescent="0.3">
      <c r="A94" s="3" t="s">
        <v>72</v>
      </c>
      <c r="B94" s="3"/>
      <c r="C94" s="3"/>
      <c r="D94" s="3"/>
      <c r="E94" s="3"/>
      <c r="F94" s="3"/>
      <c r="G94" s="3"/>
      <c r="H94" s="8"/>
    </row>
    <row r="95" spans="1:18" x14ac:dyDescent="0.3">
      <c r="A95" s="3" t="s">
        <v>73</v>
      </c>
      <c r="B95" s="3"/>
      <c r="C95" s="3">
        <v>10</v>
      </c>
      <c r="D95" s="3"/>
      <c r="E95" s="3"/>
      <c r="F95" s="3"/>
      <c r="G95" s="3"/>
      <c r="H95" s="8"/>
    </row>
    <row r="96" spans="1:18" x14ac:dyDescent="0.3">
      <c r="A96" s="3" t="s">
        <v>74</v>
      </c>
      <c r="B96" s="3"/>
      <c r="C96" s="3">
        <v>8</v>
      </c>
      <c r="D96" s="3"/>
      <c r="E96" s="3"/>
      <c r="F96" s="3"/>
      <c r="G96" s="3"/>
      <c r="H96" s="8"/>
    </row>
    <row r="97" spans="1:8" x14ac:dyDescent="0.3">
      <c r="A97" s="3" t="s">
        <v>75</v>
      </c>
      <c r="B97" s="3"/>
      <c r="C97" s="3">
        <v>10</v>
      </c>
      <c r="D97" s="3"/>
      <c r="E97" s="3"/>
      <c r="F97" s="3"/>
      <c r="G97" s="3"/>
      <c r="H97" s="8"/>
    </row>
    <row r="98" spans="1:8" x14ac:dyDescent="0.3">
      <c r="A98" s="3" t="s">
        <v>76</v>
      </c>
      <c r="B98" s="3"/>
      <c r="C98" s="3"/>
      <c r="D98" s="3"/>
      <c r="E98" s="3"/>
      <c r="F98" s="3"/>
      <c r="G98" s="3"/>
      <c r="H98" s="8"/>
    </row>
    <row r="99" spans="1:8" x14ac:dyDescent="0.3">
      <c r="A99" s="3" t="s">
        <v>77</v>
      </c>
      <c r="B99" s="3"/>
      <c r="C99" s="3"/>
      <c r="D99" s="3"/>
      <c r="E99" s="3">
        <v>8</v>
      </c>
      <c r="F99" s="3"/>
      <c r="G99" s="3"/>
      <c r="H99" s="8"/>
    </row>
    <row r="100" spans="1:8" x14ac:dyDescent="0.3">
      <c r="A100" s="3" t="s">
        <v>78</v>
      </c>
      <c r="B100" s="3"/>
      <c r="C100" s="3"/>
      <c r="D100" s="3"/>
      <c r="E100" s="3">
        <v>7</v>
      </c>
      <c r="F100" s="3"/>
      <c r="G100" s="3"/>
      <c r="H100" s="8"/>
    </row>
    <row r="101" spans="1:8" x14ac:dyDescent="0.3">
      <c r="A101" s="3" t="s">
        <v>79</v>
      </c>
      <c r="B101" s="3"/>
      <c r="C101" s="3"/>
      <c r="D101" s="3"/>
      <c r="E101" s="3">
        <v>8</v>
      </c>
      <c r="F101" s="3"/>
      <c r="G101" s="3"/>
      <c r="H101" s="8"/>
    </row>
    <row r="102" spans="1:8" x14ac:dyDescent="0.3">
      <c r="A102" s="3" t="s">
        <v>36</v>
      </c>
      <c r="B102" s="3">
        <v>28</v>
      </c>
      <c r="C102" s="3"/>
      <c r="D102" s="3"/>
      <c r="E102" s="3">
        <v>7</v>
      </c>
      <c r="F102" s="3"/>
      <c r="G102" s="3"/>
      <c r="H102" s="8"/>
    </row>
    <row r="103" spans="1:8" x14ac:dyDescent="0.3">
      <c r="A103" s="3" t="s">
        <v>37</v>
      </c>
      <c r="B103" s="3"/>
      <c r="C103" s="3"/>
      <c r="D103" s="3"/>
      <c r="E103" s="3">
        <v>7</v>
      </c>
      <c r="F103" s="3"/>
      <c r="G103" s="3"/>
      <c r="H103" s="8"/>
    </row>
    <row r="104" spans="1:8" x14ac:dyDescent="0.3">
      <c r="A104" s="3" t="s">
        <v>80</v>
      </c>
      <c r="B104" s="3"/>
      <c r="C104" s="3"/>
      <c r="D104" s="3"/>
      <c r="E104" s="3">
        <v>7</v>
      </c>
      <c r="F104" s="3"/>
      <c r="G104" s="3"/>
      <c r="H104" s="8"/>
    </row>
    <row r="105" spans="1:8" x14ac:dyDescent="0.3">
      <c r="A105" s="3" t="s">
        <v>41</v>
      </c>
      <c r="B105" s="3">
        <v>11.66</v>
      </c>
      <c r="C105" s="3"/>
      <c r="D105" s="3"/>
      <c r="E105" s="3"/>
      <c r="F105" s="3"/>
      <c r="G105" s="3"/>
      <c r="H105" s="8"/>
    </row>
    <row r="106" spans="1:8" x14ac:dyDescent="0.3">
      <c r="A106" s="3" t="s">
        <v>42</v>
      </c>
      <c r="B106" s="3">
        <v>11.66</v>
      </c>
      <c r="C106" s="3"/>
      <c r="D106" s="3"/>
      <c r="E106" s="3"/>
      <c r="F106" s="3"/>
      <c r="G106" s="3"/>
      <c r="H106" s="8"/>
    </row>
    <row r="107" spans="1:8" x14ac:dyDescent="0.3">
      <c r="A107" s="3" t="s">
        <v>81</v>
      </c>
      <c r="B107" s="3">
        <v>11.66</v>
      </c>
      <c r="C107" s="3"/>
      <c r="D107" s="3"/>
      <c r="E107" s="3"/>
      <c r="F107" s="3"/>
      <c r="G107" s="3"/>
      <c r="H107" s="8"/>
    </row>
    <row r="108" spans="1:8" x14ac:dyDescent="0.3">
      <c r="A108" s="3" t="s">
        <v>82</v>
      </c>
      <c r="B108" s="3"/>
      <c r="C108" s="3">
        <v>8</v>
      </c>
      <c r="D108" s="3"/>
      <c r="E108" s="3"/>
      <c r="F108" s="3"/>
      <c r="G108" s="3"/>
      <c r="H108" s="8"/>
    </row>
    <row r="109" spans="1:8" x14ac:dyDescent="0.3">
      <c r="A109" s="3" t="s">
        <v>44</v>
      </c>
      <c r="B109" s="3"/>
      <c r="C109" s="3">
        <v>9</v>
      </c>
      <c r="D109" s="3"/>
      <c r="E109" s="3"/>
      <c r="F109" s="3">
        <v>40</v>
      </c>
      <c r="G109" s="3"/>
      <c r="H109" s="8"/>
    </row>
    <row r="110" spans="1:8" x14ac:dyDescent="0.3">
      <c r="A110" s="3" t="s">
        <v>45</v>
      </c>
      <c r="B110" s="3"/>
      <c r="C110" s="3">
        <v>25</v>
      </c>
      <c r="D110" s="3"/>
      <c r="E110" s="3"/>
      <c r="F110" s="3">
        <v>41</v>
      </c>
      <c r="G110" s="3">
        <v>85</v>
      </c>
      <c r="H110" s="8"/>
    </row>
    <row r="111" spans="1:8" x14ac:dyDescent="0.3">
      <c r="A111" s="4"/>
      <c r="B111" s="4"/>
      <c r="C111" s="4"/>
      <c r="D111" s="4"/>
      <c r="E111" s="4"/>
      <c r="F111" s="4"/>
      <c r="G111" s="4"/>
      <c r="H111" s="8"/>
    </row>
    <row r="112" spans="1:8" x14ac:dyDescent="0.3">
      <c r="A112" s="4"/>
      <c r="B112" s="4"/>
      <c r="C112" s="4"/>
      <c r="D112" s="4"/>
      <c r="E112" s="4"/>
      <c r="F112" s="4"/>
      <c r="G112" s="4"/>
      <c r="H112" s="8"/>
    </row>
    <row r="113" spans="1:17" ht="15" thickBot="1" x14ac:dyDescent="0.35">
      <c r="A113" s="1" t="s">
        <v>46</v>
      </c>
      <c r="B113" s="6">
        <f t="shared" ref="B113:G113" si="17">SUM(B86:B112)</f>
        <v>62.97999999999999</v>
      </c>
      <c r="C113" s="6">
        <f t="shared" si="17"/>
        <v>88</v>
      </c>
      <c r="D113" s="6">
        <f t="shared" si="17"/>
        <v>0</v>
      </c>
      <c r="E113" s="6">
        <f t="shared" si="17"/>
        <v>81</v>
      </c>
      <c r="F113" s="6">
        <f t="shared" si="17"/>
        <v>81</v>
      </c>
      <c r="G113" s="6">
        <f t="shared" si="17"/>
        <v>95</v>
      </c>
      <c r="H113" s="8"/>
    </row>
    <row r="114" spans="1:17" ht="15" thickTop="1" x14ac:dyDescent="0.3">
      <c r="A114" s="1" t="s">
        <v>47</v>
      </c>
      <c r="B114" s="7">
        <f t="shared" ref="B114:G114" si="18">B113/100</f>
        <v>0.62979999999999992</v>
      </c>
      <c r="C114" s="7">
        <f t="shared" si="18"/>
        <v>0.88</v>
      </c>
      <c r="D114" s="7">
        <f t="shared" si="18"/>
        <v>0</v>
      </c>
      <c r="E114" s="7">
        <f t="shared" si="18"/>
        <v>0.81</v>
      </c>
      <c r="F114" s="7">
        <f t="shared" si="18"/>
        <v>0.81</v>
      </c>
      <c r="G114" s="7">
        <f t="shared" si="18"/>
        <v>0.95</v>
      </c>
      <c r="H114" s="8"/>
    </row>
    <row r="115" spans="1:17" x14ac:dyDescent="0.3">
      <c r="A115" s="8"/>
      <c r="B115" s="4"/>
      <c r="C115" s="4"/>
      <c r="D115" s="4"/>
      <c r="E115" s="4"/>
      <c r="F115" s="4"/>
      <c r="G115" s="4"/>
      <c r="H115" s="4"/>
    </row>
    <row r="116" spans="1:17" x14ac:dyDescent="0.3">
      <c r="A116" s="8"/>
      <c r="B116" s="1"/>
      <c r="C116" s="1"/>
      <c r="D116" s="1"/>
      <c r="E116" s="1"/>
      <c r="F116" s="1"/>
      <c r="G116" s="1"/>
      <c r="H116" s="1"/>
    </row>
    <row r="117" spans="1:17" x14ac:dyDescent="0.3">
      <c r="A117" s="8"/>
      <c r="B117" s="17"/>
      <c r="C117" s="17"/>
      <c r="D117" s="17"/>
      <c r="E117" s="17"/>
      <c r="F117" s="17"/>
      <c r="G117" s="17"/>
      <c r="H117" s="17"/>
    </row>
    <row r="118" spans="1:17" ht="15" thickBot="1" x14ac:dyDescent="0.35">
      <c r="A118" s="18"/>
      <c r="B118" s="18"/>
      <c r="C118" s="18"/>
      <c r="D118" s="18"/>
      <c r="E118" s="18"/>
      <c r="F118" s="19"/>
      <c r="G118" s="18"/>
      <c r="H118" s="18"/>
    </row>
    <row r="119" spans="1:17" x14ac:dyDescent="0.3">
      <c r="A119" s="40" t="s">
        <v>0</v>
      </c>
      <c r="B119" s="40"/>
      <c r="C119" s="40"/>
      <c r="D119" s="40"/>
      <c r="E119" s="40"/>
      <c r="F119" s="40"/>
      <c r="G119" s="8"/>
      <c r="H119" s="8"/>
    </row>
    <row r="120" spans="1:17" ht="21" x14ac:dyDescent="0.4">
      <c r="A120" s="37" t="s">
        <v>83</v>
      </c>
      <c r="B120" s="37"/>
      <c r="C120" s="37"/>
      <c r="D120" s="37"/>
      <c r="E120" s="37"/>
      <c r="F120" s="37"/>
      <c r="G120" s="8"/>
      <c r="H120" s="8"/>
      <c r="K120" s="41" t="s">
        <v>100</v>
      </c>
      <c r="L120" s="42"/>
      <c r="M120" s="42"/>
      <c r="N120" s="42"/>
      <c r="O120" s="42"/>
      <c r="P120" s="42"/>
      <c r="Q120" s="42"/>
    </row>
    <row r="121" spans="1:17" x14ac:dyDescent="0.3">
      <c r="A121" s="39" t="s">
        <v>1</v>
      </c>
      <c r="B121" s="39"/>
      <c r="C121" s="39"/>
      <c r="D121" s="39"/>
      <c r="E121" s="39"/>
      <c r="F121" s="39"/>
      <c r="G121" s="8"/>
      <c r="H121" s="8"/>
    </row>
    <row r="122" spans="1:17" ht="72" x14ac:dyDescent="0.3">
      <c r="A122" s="2" t="s">
        <v>2</v>
      </c>
      <c r="B122" s="2" t="s">
        <v>84</v>
      </c>
      <c r="C122" s="2" t="s">
        <v>85</v>
      </c>
      <c r="D122" s="2" t="s">
        <v>86</v>
      </c>
      <c r="E122" s="2" t="s">
        <v>87</v>
      </c>
      <c r="F122" s="2" t="s">
        <v>88</v>
      </c>
      <c r="G122" s="8"/>
      <c r="H122" s="8"/>
      <c r="K122" s="24"/>
      <c r="L122" s="23" t="s">
        <v>84</v>
      </c>
      <c r="M122" s="23" t="s">
        <v>85</v>
      </c>
      <c r="N122" s="23" t="s">
        <v>86</v>
      </c>
      <c r="O122" s="23" t="s">
        <v>87</v>
      </c>
      <c r="P122" s="23" t="s">
        <v>88</v>
      </c>
      <c r="Q122" s="24" t="s">
        <v>104</v>
      </c>
    </row>
    <row r="123" spans="1:17" x14ac:dyDescent="0.3">
      <c r="A123" s="3" t="s">
        <v>69</v>
      </c>
      <c r="B123" s="3"/>
      <c r="C123" s="3"/>
      <c r="D123" s="3"/>
      <c r="E123" s="3"/>
      <c r="F123" s="3"/>
      <c r="G123" s="8"/>
      <c r="H123" s="8"/>
      <c r="K123" s="24" t="s">
        <v>104</v>
      </c>
      <c r="L123" s="24">
        <f>SUM(B123:B142)</f>
        <v>40</v>
      </c>
      <c r="M123" s="24">
        <f>SUM(C123:C142)</f>
        <v>100</v>
      </c>
      <c r="N123" s="24">
        <f>SUM(D123:D142)</f>
        <v>93.7</v>
      </c>
      <c r="O123" s="24">
        <f>SUM(E123:E142)</f>
        <v>19</v>
      </c>
      <c r="P123" s="24">
        <f>SUM(F123:F142)</f>
        <v>88</v>
      </c>
      <c r="Q123" s="24"/>
    </row>
    <row r="124" spans="1:17" x14ac:dyDescent="0.3">
      <c r="A124" s="3" t="s">
        <v>70</v>
      </c>
      <c r="B124" s="3"/>
      <c r="C124" s="3">
        <v>10</v>
      </c>
      <c r="D124" s="3">
        <v>5</v>
      </c>
      <c r="E124" s="3"/>
      <c r="F124" s="3"/>
      <c r="G124" s="8"/>
      <c r="H124" s="8"/>
      <c r="K124" s="24" t="s">
        <v>105</v>
      </c>
      <c r="L124" s="25">
        <f>L123/100</f>
        <v>0.4</v>
      </c>
      <c r="M124" s="25">
        <f>M123/100</f>
        <v>1</v>
      </c>
      <c r="N124" s="25">
        <f>N123/100</f>
        <v>0.93700000000000006</v>
      </c>
      <c r="O124" s="25">
        <f>O123/100</f>
        <v>0.19</v>
      </c>
      <c r="P124" s="25">
        <f>P123/100</f>
        <v>0.88</v>
      </c>
      <c r="Q124" s="24"/>
    </row>
    <row r="125" spans="1:17" x14ac:dyDescent="0.3">
      <c r="A125" s="3" t="s">
        <v>57</v>
      </c>
      <c r="B125" s="3"/>
      <c r="C125" s="3"/>
      <c r="D125" s="3"/>
      <c r="E125" s="3"/>
      <c r="F125" s="3"/>
      <c r="G125" s="8"/>
      <c r="H125" s="8"/>
      <c r="K125" s="24" t="s">
        <v>106</v>
      </c>
      <c r="L125" s="24" t="str">
        <f>IF(L124&gt;=90%,"A+",IF(L124&gt;=85%,"A",IF(L124&gt;=80%,"A-",IF(L124&gt;=77%,"B+",IF(L124&gt;=73%,"B",IF(L124&gt;=70%,"B-",IF(L124&gt;=67%,"C+",IF(L124&gt;=63%,"C",IF(L124&gt;=60%,"C-",IF(L124&gt;=57%,"D+",IF(L124&gt;=53%,"D",IF(L124&gt;=50%,"D-","F"))))))))))))</f>
        <v>F</v>
      </c>
      <c r="M125" s="24" t="str">
        <f>IF(M124&gt;=90%,"A+",IF(M124&gt;=85%,"A",IF(M124&gt;=80%,"A-",IF(M124&gt;=77%,"B+",IF(M124&gt;=73%,"B",IF(M124&gt;=70%,"B-",IF(M124&gt;=67%,"C+",IF(M124&gt;=63%,"C",IF(M124&gt;=60%,"C-",IF(M124&gt;=57%,"D+",IF(M124&gt;=53%,"D",IF(M124&gt;=50%,"D-","F"))))))))))))</f>
        <v>A+</v>
      </c>
      <c r="N125" s="24" t="str">
        <f>IF(N124&gt;=90%,"A+",IF(N124&gt;=85%,"A",IF(N124&gt;=80%,"A-",IF(N124&gt;=77%,"B+",IF(N124&gt;=73%,"B",IF(N124&gt;=70%,"B-",IF(N124&gt;=67%,"C+",IF(N124&gt;=63%,"C",IF(N124&gt;=60%,"C-",IF(N124&gt;=57%,"D+",IF(N124&gt;=53%,"D",IF(N124&gt;=50%,"D-","F"))))))))))))</f>
        <v>A+</v>
      </c>
      <c r="O125" s="24" t="str">
        <f>IF(O124&gt;=90%,"A+",IF(O124&gt;=85%,"A",IF(O124&gt;=80%,"A-",IF(O124&gt;=77%,"B+",IF(O124&gt;=73%,"B",IF(O124&gt;=70%,"B-",IF(O124&gt;=67%,"C+",IF(O124&gt;=63%,"C",IF(O124&gt;=60%,"C-",IF(O124&gt;=57%,"D+",IF(O124&gt;=53%,"D",IF(O124&gt;=50%,"D-","F"))))))))))))</f>
        <v>F</v>
      </c>
      <c r="P125" s="24" t="str">
        <f>IF(P124&gt;=90%,"A+",IF(P124&gt;=85%,"A",IF(P124&gt;=80%,"A-",IF(P124&gt;=77%,"B+",IF(P124&gt;=73%,"B",IF(P124&gt;=70%,"B-",IF(P124&gt;=67%,"C+",IF(P124&gt;=63%,"C",IF(P124&gt;=60%,"C-",IF(P124&gt;=57%,"D+",IF(P124&gt;=53%,"D",IF(P124&gt;=50%,"D-","F"))))))))))))</f>
        <v>A</v>
      </c>
      <c r="Q125" s="24"/>
    </row>
    <row r="126" spans="1:17" x14ac:dyDescent="0.3">
      <c r="A126" s="3" t="s">
        <v>26</v>
      </c>
      <c r="B126" s="3"/>
      <c r="C126" s="3"/>
      <c r="D126" s="3"/>
      <c r="E126" s="3">
        <v>9</v>
      </c>
      <c r="F126" s="3"/>
      <c r="G126" s="8"/>
      <c r="H126" s="8"/>
      <c r="K126" s="24" t="s">
        <v>107</v>
      </c>
      <c r="L126" s="24">
        <f>IF(L124&gt;=90%,12,IF(L124&gt;=85%,11,IF(L124&gt;=80%,10,IF(L124&gt;=77%,9,IF(L124&gt;=73%,8,IF(L124&gt;=70%,7,IF(L124&gt;=67%,6,IF(L124&gt;=63%,5,IF(L124&gt;=60%,4,IF(L124&gt;=57%,3,IF(L124&gt;=53%,2,IF(L124&gt;=50%,1,0))))))))))))</f>
        <v>0</v>
      </c>
      <c r="M126" s="24">
        <f>IF(M124&gt;=90%,12,IF(M124&gt;=85%,11,IF(M124&gt;=80%,10,IF(M124&gt;=77%,9,IF(M124&gt;=73%,8,IF(M124&gt;=70%,7,IF(M124&gt;=67%,6,IF(M124&gt;=63%,5,IF(M124&gt;=60%,4,IF(M124&gt;=57%,3,IF(M124&gt;=53%,2,IF(M124&gt;=50%,1,0))))))))))))</f>
        <v>12</v>
      </c>
      <c r="N126" s="24">
        <f>IF(N124&gt;=90%,12,IF(N124&gt;=85%,11,IF(N124&gt;=80%,10,IF(N124&gt;=77%,9,IF(N124&gt;=73%,8,IF(N124&gt;=70%,7,IF(N124&gt;=67%,6,IF(N124&gt;=63%,5,IF(N124&gt;=60%,4,IF(N124&gt;=57%,3,IF(N124&gt;=53%,2,IF(N124&gt;=50%,1,0))))))))))))</f>
        <v>12</v>
      </c>
      <c r="O126" s="24">
        <f>IF(O124&gt;=90%,12,IF(O124&gt;=85%,11,IF(O124&gt;=80%,10,IF(O124&gt;=77%,9,IF(O124&gt;=73%,8,IF(O124&gt;=70%,7,IF(O124&gt;=67%,6,IF(O124&gt;=63%,5,IF(O124&gt;=60%,4,IF(O124&gt;=57%,3,IF(O124&gt;=53%,2,IF(O124&gt;=50%,1,0))))))))))))</f>
        <v>0</v>
      </c>
      <c r="P126" s="24">
        <f>IF(P124&gt;=90%,12,IF(P124&gt;=85%,11,IF(P124&gt;=80%,10,IF(P124&gt;=77%,9,IF(P124&gt;=73%,8,IF(P124&gt;=70%,7,IF(P124&gt;=67%,6,IF(P124&gt;=63%,5,IF(P124&gt;=60%,4,IF(P124&gt;=57%,3,IF(P124&gt;=53%,2,IF(P124&gt;=50%,1,0))))))))))))</f>
        <v>11</v>
      </c>
      <c r="Q126" s="24">
        <f>SUM(L126:P126)</f>
        <v>35</v>
      </c>
    </row>
    <row r="127" spans="1:17" x14ac:dyDescent="0.3">
      <c r="A127" s="3" t="s">
        <v>27</v>
      </c>
      <c r="B127" s="3"/>
      <c r="C127" s="3"/>
      <c r="D127" s="3"/>
      <c r="E127" s="3">
        <v>10</v>
      </c>
      <c r="F127" s="3"/>
      <c r="G127" s="8"/>
      <c r="H127" s="8"/>
      <c r="K127" s="24" t="s">
        <v>108</v>
      </c>
      <c r="L127" s="24">
        <f>IF(L124&gt;=90%,4,IF(L124&gt;=85%,3.9,IF(L124&gt;=80%,3.7,IF(L124&gt;=77%,3.3,IF(L124&gt;=73%,3,IF(L124&gt;=70%,2.7,IF(L124&gt;=67%,2.3,IF(L124&gt;=63%,2,IF(L124&gt;=60%,1.7,IF(L124&gt;=57%,1.3,IF(L124&gt;=53%,1,IF(L124&gt;=50%,0.7,0))))))))))))</f>
        <v>0</v>
      </c>
      <c r="M127" s="24">
        <f>IF(M124&gt;=90%,4,IF(M124&gt;=85%,3.9,IF(M124&gt;=80%,3.7,IF(M124&gt;=77%,3.3,IF(M124&gt;=73%,3,IF(M124&gt;=70%,2.7,IF(M124&gt;=67%,2.3,IF(M124&gt;=63%,2,IF(M124&gt;=60%,1.7,IF(M124&gt;=57%,1.3,IF(M124&gt;=53%,1,IF(M124&gt;=50%,0.7,0))))))))))))</f>
        <v>4</v>
      </c>
      <c r="N127" s="24">
        <f>IF(N124&gt;=90%,4,IF(N124&gt;=85%,3.9,IF(N124&gt;=80%,3.7,IF(N124&gt;=77%,3.3,IF(N124&gt;=73%,3,IF(N124&gt;=70%,2.7,IF(N124&gt;=67%,2.3,IF(N124&gt;=63%,2,IF(N124&gt;=60%,1.7,IF(N124&gt;=57%,1.3,IF(N124&gt;=53%,1,IF(N124&gt;=50%,0.7,0))))))))))))</f>
        <v>4</v>
      </c>
      <c r="O127" s="24">
        <f>IF(O124&gt;=90%,4,IF(O124&gt;=85%,3.9,IF(O124&gt;=80%,3.7,IF(O124&gt;=77%,3.3,IF(O124&gt;=73%,3,IF(O124&gt;=70%,2.7,IF(O124&gt;=67%,2.3,IF(O124&gt;=63%,2,IF(O124&gt;=60%,1.7,IF(O124&gt;=57%,1.3,IF(O124&gt;=53%,1,IF(O124&gt;=50%,0.7,0))))))))))))</f>
        <v>0</v>
      </c>
      <c r="P127" s="24">
        <f>IF(P124&gt;=90%,4,IF(P124&gt;=85%,3.9,IF(P124&gt;=80%,3.7,IF(P124&gt;=77%,3.3,IF(P124&gt;=73%,3,IF(P124&gt;=70%,2.7,IF(P124&gt;=67%,2.3,IF(P124&gt;=63%,2,IF(P124&gt;=60%,1.7,IF(P124&gt;=57%,1.3,IF(P124&gt;=53%,1,IF(P124&gt;=50%,0.7,0))))))))))))</f>
        <v>3.9</v>
      </c>
      <c r="Q127" s="24">
        <f>SUM(L127:P127)</f>
        <v>11.9</v>
      </c>
    </row>
    <row r="128" spans="1:17" x14ac:dyDescent="0.3">
      <c r="A128" s="3" t="s">
        <v>28</v>
      </c>
      <c r="B128" s="3"/>
      <c r="C128" s="3"/>
      <c r="D128" s="3"/>
      <c r="E128" s="3"/>
      <c r="F128" s="3"/>
      <c r="G128" s="8"/>
      <c r="H128" s="8"/>
    </row>
    <row r="129" spans="1:8" x14ac:dyDescent="0.3">
      <c r="A129" s="3" t="s">
        <v>89</v>
      </c>
      <c r="B129" s="3"/>
      <c r="C129" s="3"/>
      <c r="D129" s="3"/>
      <c r="E129" s="3"/>
      <c r="F129" s="3"/>
      <c r="G129" s="8"/>
      <c r="H129" s="8"/>
    </row>
    <row r="130" spans="1:8" x14ac:dyDescent="0.3">
      <c r="A130" s="3" t="s">
        <v>90</v>
      </c>
      <c r="B130" s="3"/>
      <c r="C130" s="3"/>
      <c r="D130" s="3"/>
      <c r="E130" s="3"/>
      <c r="F130" s="3"/>
      <c r="G130" s="8"/>
      <c r="H130" s="8"/>
    </row>
    <row r="131" spans="1:8" x14ac:dyDescent="0.3">
      <c r="A131" s="3" t="s">
        <v>91</v>
      </c>
      <c r="B131" s="3"/>
      <c r="C131" s="3"/>
      <c r="D131" s="3"/>
      <c r="E131" s="3"/>
      <c r="F131" s="3"/>
      <c r="G131" s="8"/>
      <c r="H131" s="8"/>
    </row>
    <row r="132" spans="1:8" x14ac:dyDescent="0.3">
      <c r="A132" s="3" t="s">
        <v>92</v>
      </c>
      <c r="B132" s="3">
        <v>15</v>
      </c>
      <c r="C132" s="3"/>
      <c r="D132" s="3"/>
      <c r="E132" s="3"/>
      <c r="F132" s="3"/>
      <c r="G132" s="8"/>
      <c r="H132" s="8"/>
    </row>
    <row r="133" spans="1:8" x14ac:dyDescent="0.3">
      <c r="A133" s="3" t="s">
        <v>93</v>
      </c>
      <c r="B133" s="3">
        <v>10</v>
      </c>
      <c r="C133" s="3"/>
      <c r="D133" s="3"/>
      <c r="E133" s="3"/>
      <c r="F133" s="3"/>
      <c r="G133" s="8"/>
      <c r="H133" s="8"/>
    </row>
    <row r="134" spans="1:8" x14ac:dyDescent="0.3">
      <c r="A134" s="3" t="s">
        <v>94</v>
      </c>
      <c r="B134" s="3"/>
      <c r="C134" s="3"/>
      <c r="D134" s="3"/>
      <c r="E134" s="3"/>
      <c r="F134" s="3"/>
      <c r="G134" s="8"/>
      <c r="H134" s="8"/>
    </row>
    <row r="135" spans="1:8" x14ac:dyDescent="0.3">
      <c r="A135" s="3" t="s">
        <v>95</v>
      </c>
      <c r="B135" s="3"/>
      <c r="C135" s="3"/>
      <c r="D135" s="3"/>
      <c r="E135" s="3"/>
      <c r="F135" s="3"/>
      <c r="G135" s="8"/>
      <c r="H135" s="8"/>
    </row>
    <row r="136" spans="1:8" x14ac:dyDescent="0.3">
      <c r="A136" s="3" t="s">
        <v>96</v>
      </c>
      <c r="B136" s="3"/>
      <c r="C136" s="3"/>
      <c r="D136" s="3"/>
      <c r="E136" s="3"/>
      <c r="F136" s="3"/>
      <c r="G136" s="8"/>
      <c r="H136" s="8"/>
    </row>
    <row r="137" spans="1:8" x14ac:dyDescent="0.3">
      <c r="A137" s="3" t="s">
        <v>36</v>
      </c>
      <c r="B137" s="3"/>
      <c r="C137" s="3"/>
      <c r="D137" s="3"/>
      <c r="E137" s="3"/>
      <c r="F137" s="3"/>
      <c r="G137" s="8"/>
      <c r="H137" s="8"/>
    </row>
    <row r="138" spans="1:8" x14ac:dyDescent="0.3">
      <c r="A138" s="3" t="s">
        <v>97</v>
      </c>
      <c r="B138" s="3"/>
      <c r="C138" s="3"/>
      <c r="D138" s="3">
        <v>5</v>
      </c>
      <c r="E138" s="3"/>
      <c r="F138" s="3"/>
      <c r="G138" s="8"/>
      <c r="H138" s="8"/>
    </row>
    <row r="139" spans="1:8" x14ac:dyDescent="0.3">
      <c r="A139" s="20" t="s">
        <v>98</v>
      </c>
      <c r="B139" s="3"/>
      <c r="C139" s="3"/>
      <c r="D139" s="3"/>
      <c r="E139" s="3"/>
      <c r="F139" s="3"/>
      <c r="G139" s="8"/>
      <c r="H139" s="8"/>
    </row>
    <row r="140" spans="1:8" x14ac:dyDescent="0.3">
      <c r="A140" s="3" t="s">
        <v>99</v>
      </c>
      <c r="B140" s="3">
        <v>15</v>
      </c>
      <c r="C140" s="3">
        <v>90</v>
      </c>
      <c r="D140" s="3">
        <v>83.7</v>
      </c>
      <c r="E140" s="3"/>
      <c r="F140" s="3">
        <v>88</v>
      </c>
      <c r="G140" s="8"/>
      <c r="H140" s="8"/>
    </row>
    <row r="141" spans="1:8" x14ac:dyDescent="0.3">
      <c r="A141" s="4"/>
      <c r="B141" s="4"/>
      <c r="C141" s="4"/>
      <c r="D141" s="4"/>
      <c r="E141" s="4"/>
      <c r="F141" s="4"/>
      <c r="G141" s="8"/>
      <c r="H141" s="8"/>
    </row>
    <row r="142" spans="1:8" x14ac:dyDescent="0.3">
      <c r="A142" s="4"/>
      <c r="B142" s="4"/>
      <c r="C142" s="4"/>
      <c r="D142" s="4"/>
      <c r="E142" s="4"/>
      <c r="F142" s="4"/>
      <c r="G142" s="8"/>
      <c r="H142" s="8"/>
    </row>
    <row r="143" spans="1:8" ht="15" thickBot="1" x14ac:dyDescent="0.35">
      <c r="A143" s="1" t="s">
        <v>46</v>
      </c>
      <c r="B143" s="6">
        <f>SUM(B123:B142)</f>
        <v>40</v>
      </c>
      <c r="C143" s="6">
        <f>SUM(C123:C142)</f>
        <v>100</v>
      </c>
      <c r="D143" s="6">
        <f>SUM(D123:D142)</f>
        <v>93.7</v>
      </c>
      <c r="E143" s="6">
        <f>SUM(E123:E142)</f>
        <v>19</v>
      </c>
      <c r="F143" s="6">
        <f>SUM(E123:E142)</f>
        <v>19</v>
      </c>
      <c r="G143" s="8"/>
      <c r="H143" s="8"/>
    </row>
    <row r="144" spans="1:8" ht="15" thickTop="1" x14ac:dyDescent="0.3">
      <c r="A144" s="8"/>
      <c r="B144" s="7">
        <f>B143/100</f>
        <v>0.4</v>
      </c>
      <c r="C144" s="7">
        <f>C143/100</f>
        <v>1</v>
      </c>
      <c r="D144" s="7">
        <f>D143/100</f>
        <v>0.93700000000000006</v>
      </c>
      <c r="E144" s="7">
        <f>E143/100</f>
        <v>0.19</v>
      </c>
      <c r="F144" s="7">
        <f>F143/100</f>
        <v>0.19</v>
      </c>
      <c r="G144" s="8"/>
      <c r="H144" s="8"/>
    </row>
    <row r="145" spans="1:9" x14ac:dyDescent="0.3">
      <c r="A145" s="21"/>
      <c r="B145" s="4"/>
      <c r="C145" s="4"/>
      <c r="D145" s="4"/>
      <c r="E145" s="4"/>
      <c r="F145" s="4"/>
      <c r="G145" s="4"/>
      <c r="H145" s="27"/>
      <c r="I145" s="24"/>
    </row>
    <row r="146" spans="1:9" x14ac:dyDescent="0.3">
      <c r="A146" s="21"/>
      <c r="B146" s="1"/>
      <c r="C146" s="1"/>
      <c r="D146" s="1"/>
      <c r="E146" s="1"/>
      <c r="F146" s="1"/>
      <c r="G146" s="1"/>
      <c r="H146" s="28" t="s">
        <v>119</v>
      </c>
      <c r="I146" s="24">
        <f>SUM(Q126,R89,R58,S8)</f>
        <v>173</v>
      </c>
    </row>
    <row r="147" spans="1:9" x14ac:dyDescent="0.3">
      <c r="A147" s="32" t="s">
        <v>109</v>
      </c>
      <c r="B147" s="17" t="s">
        <v>123</v>
      </c>
      <c r="C147" s="17"/>
      <c r="D147" s="17"/>
      <c r="E147" s="17"/>
      <c r="F147" s="17"/>
      <c r="G147" s="22"/>
      <c r="H147" s="29" t="s">
        <v>108</v>
      </c>
      <c r="I147" s="24">
        <f>SUM(Q127,R90,R59,S9)</f>
        <v>60.899999999999991</v>
      </c>
    </row>
    <row r="148" spans="1:9" x14ac:dyDescent="0.3">
      <c r="A148" s="35" t="s">
        <v>118</v>
      </c>
      <c r="B148" s="36" t="s">
        <v>124</v>
      </c>
      <c r="C148" s="21"/>
      <c r="D148" s="21"/>
      <c r="E148" s="21"/>
      <c r="F148" s="21"/>
      <c r="G148" s="21"/>
      <c r="H148" s="27"/>
      <c r="I148" s="24"/>
    </row>
    <row r="149" spans="1:9" x14ac:dyDescent="0.3">
      <c r="A149" s="33" t="s">
        <v>110</v>
      </c>
      <c r="B149" s="34">
        <v>2026</v>
      </c>
      <c r="C149" s="21"/>
      <c r="D149" s="21"/>
      <c r="E149" s="21"/>
      <c r="F149" s="21"/>
      <c r="H149" s="27" t="s">
        <v>120</v>
      </c>
      <c r="I149" s="24">
        <v>23</v>
      </c>
    </row>
    <row r="150" spans="1:9" x14ac:dyDescent="0.3">
      <c r="A150" s="33" t="s">
        <v>111</v>
      </c>
      <c r="B150" s="31" t="s">
        <v>125</v>
      </c>
      <c r="C150" s="21"/>
      <c r="D150" s="21"/>
      <c r="E150" s="21"/>
      <c r="F150" s="21"/>
      <c r="H150" s="29" t="s">
        <v>121</v>
      </c>
      <c r="I150" s="24">
        <f>I147/I149</f>
        <v>2.6478260869565213</v>
      </c>
    </row>
    <row r="151" spans="1:9" x14ac:dyDescent="0.3">
      <c r="A151" s="33" t="s">
        <v>112</v>
      </c>
      <c r="B151" s="30" t="s">
        <v>116</v>
      </c>
      <c r="C151" s="21"/>
      <c r="D151" s="21"/>
      <c r="E151" s="21"/>
      <c r="F151" s="21"/>
      <c r="G151" s="21"/>
      <c r="H151" s="29" t="s">
        <v>122</v>
      </c>
      <c r="I151" s="24">
        <f>ROUND(I150,1)</f>
        <v>2.6</v>
      </c>
    </row>
    <row r="152" spans="1:9" x14ac:dyDescent="0.3">
      <c r="A152" s="33" t="s">
        <v>113</v>
      </c>
      <c r="B152" s="30" t="s">
        <v>115</v>
      </c>
    </row>
    <row r="153" spans="1:9" x14ac:dyDescent="0.3">
      <c r="A153" s="33" t="s">
        <v>114</v>
      </c>
      <c r="B153" t="s">
        <v>116</v>
      </c>
    </row>
  </sheetData>
  <mergeCells count="16">
    <mergeCell ref="K120:Q120"/>
    <mergeCell ref="K83:R83"/>
    <mergeCell ref="K52:R52"/>
    <mergeCell ref="K2:S2"/>
    <mergeCell ref="A121:F121"/>
    <mergeCell ref="A53:H53"/>
    <mergeCell ref="A82:G82"/>
    <mergeCell ref="A83:G83"/>
    <mergeCell ref="A84:G84"/>
    <mergeCell ref="A119:F119"/>
    <mergeCell ref="A120:F120"/>
    <mergeCell ref="A1:H1"/>
    <mergeCell ref="A2:H2"/>
    <mergeCell ref="A3:H3"/>
    <mergeCell ref="A51:F51"/>
    <mergeCell ref="A52:F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D4D53-1EDB-4DF1-BD37-A88C3C518ED8}">
  <sheetPr codeName="Sheet3"/>
  <dimension ref="A1"/>
  <sheetViews>
    <sheetView workbookViewId="0">
      <selection activeCell="F6" sqref="F6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Semester</vt:lpstr>
      <vt:lpstr>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Sanni Akeem</dc:creator>
  <cp:lastModifiedBy>Sanni Akeem</cp:lastModifiedBy>
  <cp:lastPrinted>2025-04-12T06:20:57Z</cp:lastPrinted>
  <dcterms:created xsi:type="dcterms:W3CDTF">2025-04-09T04:07:26Z</dcterms:created>
  <dcterms:modified xsi:type="dcterms:W3CDTF">2025-04-22T14:36:19Z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2025-04-09T06:25:17Z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2a24133e-5c51-40f0-b26f-310800d24ef0</vt:lpwstr>
  </property>
  <property fmtid="{D5CDD505-2E9C-101B-9397-08002B2CF9AE}" pid="7" name="MSIP_Label_defa4170-0d19-0005-0004-bc88714345d2_ActionId">
    <vt:lpwstr>0f35c481-3d63-48aa-bdce-f71c10b899dc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